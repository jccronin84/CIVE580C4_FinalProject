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c829804536_colostate_edu/Documents/Microsoft Teams Chat Files/"/>
    </mc:Choice>
  </mc:AlternateContent>
  <xr:revisionPtr revIDLastSave="728" documentId="13_ncr:1_{143D07AB-F20C-4929-836A-E19FFE3DAE4D}" xr6:coauthVersionLast="47" xr6:coauthVersionMax="47" xr10:uidLastSave="{AB9A80D9-FA40-4C6B-A44A-393028FD13A9}"/>
  <bookViews>
    <workbookView xWindow="-120" yWindow="-120" windowWidth="29040" windowHeight="15720" xr2:uid="{83A2F5A8-6268-4F4A-A0FD-FC6B17854872}"/>
  </bookViews>
  <sheets>
    <sheet name="Cooling Cost Method" sheetId="2" r:id="rId1"/>
    <sheet name="Not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2" l="1"/>
  <c r="S22" i="2"/>
  <c r="S20" i="2"/>
  <c r="S19" i="2"/>
  <c r="S21" i="2"/>
  <c r="M19" i="2"/>
  <c r="M20" i="2"/>
  <c r="M21" i="2"/>
  <c r="M22" i="2"/>
  <c r="M18" i="2"/>
  <c r="L19" i="2"/>
  <c r="L20" i="2"/>
  <c r="L21" i="2"/>
  <c r="L22" i="2"/>
  <c r="L18" i="2"/>
  <c r="K5" i="2"/>
  <c r="K7" i="2"/>
  <c r="K9" i="2"/>
  <c r="K11" i="2"/>
  <c r="K3" i="2"/>
  <c r="N3" i="2"/>
  <c r="O18" i="2"/>
  <c r="O19" i="2"/>
  <c r="O20" i="2"/>
  <c r="O21" i="2"/>
  <c r="O22" i="2"/>
  <c r="J9" i="2"/>
  <c r="J7" i="2"/>
  <c r="J5" i="2"/>
  <c r="J11" i="2"/>
  <c r="J3" i="2"/>
  <c r="L3" i="2"/>
  <c r="N5" i="2"/>
  <c r="O5" i="2" s="1"/>
  <c r="Q5" i="2" s="1"/>
  <c r="N7" i="2"/>
  <c r="O7" i="2" s="1"/>
  <c r="P7" i="2" s="1"/>
  <c r="N9" i="2"/>
  <c r="O9" i="2" s="1"/>
  <c r="P9" i="2" s="1"/>
  <c r="N11" i="2"/>
  <c r="O11" i="2" s="1"/>
  <c r="P11" i="2" s="1"/>
  <c r="P18" i="2" l="1"/>
  <c r="P5" i="2"/>
  <c r="P21" i="2"/>
  <c r="P19" i="2"/>
  <c r="P20" i="2"/>
  <c r="P22" i="2"/>
  <c r="O3" i="2"/>
  <c r="P3" i="2" s="1"/>
  <c r="Q11" i="2"/>
  <c r="Q9" i="2"/>
  <c r="R9" i="2" s="1"/>
  <c r="S9" i="2" s="1"/>
  <c r="T9" i="2" s="1"/>
  <c r="U9" i="2" s="1"/>
  <c r="W9" i="2" s="1"/>
  <c r="Q7" i="2"/>
  <c r="R7" i="2" s="1"/>
  <c r="S7" i="2" s="1"/>
  <c r="T7" i="2" s="1"/>
  <c r="U7" i="2" s="1"/>
  <c r="W7" i="2" s="1"/>
  <c r="R5" i="2"/>
  <c r="S5" i="2" s="1"/>
  <c r="T5" i="2" s="1"/>
  <c r="U5" i="2" s="1"/>
  <c r="W5" i="2" s="1"/>
  <c r="Q3" i="2" l="1"/>
  <c r="R3" i="2" s="1"/>
  <c r="S3" i="2" s="1"/>
  <c r="T3" i="2" s="1"/>
  <c r="U3" i="2" s="1"/>
  <c r="W3" i="2" s="1"/>
  <c r="R11" i="2"/>
  <c r="S11" i="2" s="1"/>
  <c r="T11" i="2" s="1"/>
  <c r="U11" i="2" s="1"/>
  <c r="W11" i="2" s="1"/>
</calcChain>
</file>

<file path=xl/sharedStrings.xml><?xml version="1.0" encoding="utf-8"?>
<sst xmlns="http://schemas.openxmlformats.org/spreadsheetml/2006/main" count="60" uniqueCount="50">
  <si>
    <t>Climate Type</t>
  </si>
  <si>
    <t>City
 *USER INPUT*</t>
  </si>
  <si>
    <t>Data Center Type *USER INPUT*</t>
  </si>
  <si>
    <t>IT Load (MW) *USER INPUT*</t>
  </si>
  <si>
    <t>Electricity Rate ($/kWh)</t>
  </si>
  <si>
    <t>Total Electricity Cost ($/year)</t>
  </si>
  <si>
    <t>Load Factor (%)</t>
  </si>
  <si>
    <r>
      <t>Range            (</t>
    </r>
    <r>
      <rPr>
        <b/>
        <sz val="11"/>
        <color theme="1"/>
        <rFont val="Aptos Narrow"/>
        <family val="2"/>
      </rPr>
      <t>°C)</t>
    </r>
  </si>
  <si>
    <t>CoC</t>
  </si>
  <si>
    <t>Tons</t>
  </si>
  <si>
    <t>Evap     (gpm)</t>
  </si>
  <si>
    <t>Blowdown (gpm)</t>
  </si>
  <si>
    <t>Drift      (gpm)</t>
  </si>
  <si>
    <t>Peak Makeup (gpm)</t>
  </si>
  <si>
    <t>Peak Makeup (MGD)</t>
  </si>
  <si>
    <t>Peak Annual Makeup (MGY)</t>
  </si>
  <si>
    <t>Actual Annual Makeup (MGY)</t>
  </si>
  <si>
    <t>Water Rate ($/1000 gal)</t>
  </si>
  <si>
    <t>Total Water Cost ($/year)</t>
  </si>
  <si>
    <t>Cold and Dry</t>
  </si>
  <si>
    <t>Denver</t>
  </si>
  <si>
    <t>AI/ML Cluster</t>
  </si>
  <si>
    <t>Hot and Wet</t>
  </si>
  <si>
    <t>Miami</t>
  </si>
  <si>
    <t>Hyperscale Cloud</t>
  </si>
  <si>
    <t>Hot and Dry</t>
  </si>
  <si>
    <t>Phoenix</t>
  </si>
  <si>
    <t>Moderate</t>
  </si>
  <si>
    <t>San Diego</t>
  </si>
  <si>
    <t>Cold and Wet</t>
  </si>
  <si>
    <t>Seattle</t>
  </si>
  <si>
    <t>Environmental Impacts</t>
  </si>
  <si>
    <t>City Name</t>
  </si>
  <si>
    <r>
      <t>Avg Temp (</t>
    </r>
    <r>
      <rPr>
        <sz val="11"/>
        <color theme="1"/>
        <rFont val="Aptos Narrow"/>
        <family val="2"/>
      </rPr>
      <t>⁰</t>
    </r>
    <r>
      <rPr>
        <sz val="11"/>
        <color theme="1"/>
        <rFont val="Aptos Narrow"/>
        <family val="2"/>
        <scheme val="minor"/>
      </rPr>
      <t>C)</t>
    </r>
  </si>
  <si>
    <t>Avg Annual Precipitation (mm/year)</t>
  </si>
  <si>
    <t>Grid Carbon Intensity (kgCO2/kWh)</t>
  </si>
  <si>
    <t>Climate Adjusted Electricity (MWh/year)</t>
  </si>
  <si>
    <t>Annual CO2 (metric tons)</t>
  </si>
  <si>
    <t>Carbon Price ($/ metric ton)</t>
  </si>
  <si>
    <t>Annual Carbon Cost ($)</t>
  </si>
  <si>
    <t>Normalized Carbon Cost (Scale: 0-1)</t>
  </si>
  <si>
    <t>Climate Adjusted Water Use (gallons/year)</t>
  </si>
  <si>
    <t>Raw Water Stress Index</t>
  </si>
  <si>
    <t>Calculated Water Stress Score (1=low, 5=high)</t>
  </si>
  <si>
    <t>Sustainability Score</t>
  </si>
  <si>
    <t>Monthly Precip</t>
  </si>
  <si>
    <t>Total Impact</t>
  </si>
  <si>
    <t>Stress</t>
  </si>
  <si>
    <t>Ratio</t>
  </si>
  <si>
    <t>Note - The Avg Annual Precip values were taken from the official 1991–2020 U.S. Climate Normals (NOAA), which are 30-year averages calculated from thousands of weather stations.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</si>
</sst>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8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9" fontId="2" fillId="4" borderId="12" xfId="0" applyNumberFormat="1" applyFont="1" applyFill="1" applyBorder="1" applyAlignment="1">
      <alignment horizontal="center" vertical="center" wrapText="1"/>
    </xf>
    <xf numFmtId="3" fontId="2" fillId="4" borderId="12" xfId="0" applyNumberFormat="1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44" xfId="0" applyFont="1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66" fontId="0" fillId="3" borderId="16" xfId="0" applyNumberFormat="1" applyFill="1" applyBorder="1" applyAlignment="1">
      <alignment horizontal="center" vertical="center"/>
    </xf>
    <xf numFmtId="166" fontId="0" fillId="3" borderId="21" xfId="0" applyNumberFormat="1" applyFill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3" borderId="12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3" borderId="12" xfId="0" applyNumberFormat="1" applyFill="1" applyBorder="1" applyAlignment="1">
      <alignment horizontal="center" vertical="center"/>
    </xf>
    <xf numFmtId="3" fontId="0" fillId="3" borderId="14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9" fontId="0" fillId="3" borderId="12" xfId="0" applyNumberFormat="1" applyFill="1" applyBorder="1" applyAlignment="1">
      <alignment horizontal="center" vertical="center"/>
    </xf>
    <xf numFmtId="9" fontId="0" fillId="3" borderId="14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23</xdr:row>
      <xdr:rowOff>88900</xdr:rowOff>
    </xdr:from>
    <xdr:to>
      <xdr:col>18</xdr:col>
      <xdr:colOff>57150</xdr:colOff>
      <xdr:row>49</xdr:row>
      <xdr:rowOff>155575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11333C-F9B8-9317-E79F-DCBF79044BD3}"/>
            </a:ext>
          </a:extLst>
        </xdr:cNvPr>
        <xdr:cNvSpPr txBox="1"/>
      </xdr:nvSpPr>
      <xdr:spPr>
        <a:xfrm>
          <a:off x="619125" y="5127625"/>
          <a:ext cx="12496800" cy="5019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u="sng"/>
            <a:t>Summary</a:t>
          </a:r>
          <a:r>
            <a:rPr lang="en-US" b="1" u="sng" baseline="0"/>
            <a:t> of Parameters</a:t>
          </a:r>
          <a:endParaRPr lang="en-US" b="1" u="sng"/>
        </a:p>
        <a:p>
          <a:endParaRPr lang="en-US" b="0"/>
        </a:p>
        <a:p>
          <a:r>
            <a:rPr lang="en-US" b="1"/>
            <a:t>City </a:t>
          </a:r>
          <a:r>
            <a:rPr lang="en-US" b="0"/>
            <a:t>— Identifies the geographic location so you can compare climate‑driven differences in water use.</a:t>
          </a:r>
          <a:br>
            <a:rPr lang="en-US" b="0"/>
          </a:br>
          <a:endParaRPr lang="en-US" b="0"/>
        </a:p>
        <a:p>
          <a:r>
            <a:rPr lang="en-US" b="1"/>
            <a:t>IT Load (MW) </a:t>
          </a:r>
          <a:r>
            <a:rPr lang="en-US" b="0"/>
            <a:t>— The total computing power that ultimately becomes heat the cooling system must reject.</a:t>
          </a:r>
          <a:br>
            <a:rPr lang="en-US" b="0"/>
          </a:br>
          <a:r>
            <a:rPr lang="en-US" b="0"/>
            <a:t>Input value in MW (e.g., P</a:t>
          </a:r>
          <a:r>
            <a:rPr lang="en-US" b="0" baseline="-25000"/>
            <a:t>IT</a:t>
          </a:r>
          <a:r>
            <a:rPr lang="en-US" b="0" baseline="0"/>
            <a:t>). This is assumed to be the same for each City.</a:t>
          </a:r>
          <a:endParaRPr lang="en-US" b="0"/>
        </a:p>
        <a:p>
          <a:endParaRPr lang="en-US" b="0"/>
        </a:p>
        <a:p>
          <a:r>
            <a:rPr lang="en-US" b="1"/>
            <a:t>Load Factor (%)</a:t>
          </a:r>
          <a:r>
            <a:rPr lang="en-US" b="0"/>
            <a:t> — The average fraction of full IT load the data center runs at over time, used to scale annual water use.  Two different IT loads are considred for this project:</a:t>
          </a:r>
          <a:r>
            <a:rPr lang="en-US" b="0" baseline="0"/>
            <a:t>  60% for hyperscale cloud data centers and 80% for AI/ML cluster data cente.</a:t>
          </a:r>
          <a:br>
            <a:rPr lang="en-US" b="0"/>
          </a:br>
          <a:endParaRPr lang="en-US" b="0"/>
        </a:p>
        <a:p>
          <a:r>
            <a:rPr lang="en-US" b="1"/>
            <a:t>Range (°F) </a:t>
          </a:r>
          <a:r>
            <a:rPr lang="en-US" b="0"/>
            <a:t>— The temperature drop across the cooling tower (hot‑water return minus cold‑water supply), which directly sets evaporation.  This assumes the allowable hot water return temperature is 70 °</a:t>
          </a:r>
          <a:r>
            <a:rPr lang="en-US" b="0" baseline="0"/>
            <a:t>F. The cold-water supply will vary from 55 - 60 °F based on the average temperature of the City. We can use our judgement to estimate the cold-water supply temperature.</a:t>
          </a:r>
          <a:br>
            <a:rPr lang="en-US" b="0"/>
          </a:br>
          <a:endParaRPr lang="en-US" b="0"/>
        </a:p>
        <a:p>
          <a:r>
            <a:rPr lang="en-US" b="1"/>
            <a:t>Cycles of Concentration (CoC) </a:t>
          </a:r>
          <a:r>
            <a:rPr lang="en-US" b="0"/>
            <a:t>— How many times dissolved minerals are allowed to concentrate before blowdown occurs, which determines blowdown volume. This is a function of water quality and treatment practices.  Hard water has lower</a:t>
          </a:r>
          <a:r>
            <a:rPr lang="en-US" b="0" baseline="0"/>
            <a:t> CoC and soft water has higher CoC.  The typical range is 3 - 5.  We can use our judgement to estimate CoC.</a:t>
          </a:r>
          <a:br>
            <a:rPr lang="en-US" b="0"/>
          </a:br>
          <a:endParaRPr lang="en-US" b="0"/>
        </a:p>
        <a:p>
          <a:r>
            <a:rPr lang="en-US" b="1"/>
            <a:t>Tons</a:t>
          </a:r>
          <a:r>
            <a:rPr lang="en-US" b="0"/>
            <a:t> — The cooling capacity required, calculated from IT load, and used as the basis for evaporation estimates.</a:t>
          </a:r>
        </a:p>
        <a:p>
          <a:endParaRPr lang="en-US" b="0"/>
        </a:p>
        <a:p>
          <a:r>
            <a:rPr lang="en-US" b="1"/>
            <a:t>Evap (gpm) </a:t>
          </a:r>
          <a:r>
            <a:rPr lang="en-US" b="0"/>
            <a:t>— The water lost to evaporation, which is the fundamental mechanism for heat rejection in a cooling tower.</a:t>
          </a:r>
          <a:br>
            <a:rPr lang="en-US" b="0"/>
          </a:br>
          <a:endParaRPr lang="en-US" b="0"/>
        </a:p>
        <a:p>
          <a:r>
            <a:rPr lang="en-US" b="1"/>
            <a:t>Blowdown (gpm) </a:t>
          </a:r>
          <a:r>
            <a:rPr lang="en-US" b="0"/>
            <a:t>— The water intentionally discharged to control mineral buildup, determined by evaporation and CoC.</a:t>
          </a:r>
          <a:br>
            <a:rPr lang="en-US" b="0"/>
          </a:br>
          <a:endParaRPr lang="en-US" b="0"/>
        </a:p>
        <a:p>
          <a:r>
            <a:rPr lang="en-US" b="1"/>
            <a:t>Drift (gpm) </a:t>
          </a:r>
          <a:r>
            <a:rPr lang="en-US" b="0"/>
            <a:t>— The small amount of water lost as droplets carried out of the tower exhaust air.</a:t>
          </a:r>
          <a:br>
            <a:rPr lang="en-US" b="0"/>
          </a:br>
          <a:endParaRPr lang="en-US" b="0"/>
        </a:p>
        <a:p>
          <a:r>
            <a:rPr lang="en-US" b="1"/>
            <a:t>Makeup (gpm) </a:t>
          </a:r>
          <a:r>
            <a:rPr lang="en-US" b="0"/>
            <a:t>— The total city‑water demand needed to replace evaporation, blowdown, and drift.</a:t>
          </a:r>
          <a:br>
            <a:rPr lang="en-US" b="0"/>
          </a:br>
          <a:endParaRPr lang="en-US" b="0"/>
        </a:p>
        <a:p>
          <a:r>
            <a:rPr lang="en-US" b="1"/>
            <a:t>Makeup (MGD) </a:t>
          </a:r>
          <a:r>
            <a:rPr lang="en-US" b="0"/>
            <a:t>— The daily volume of city water required to operate the cooling system at the specified load.</a:t>
          </a:r>
          <a:br>
            <a:rPr lang="en-US" b="0"/>
          </a:br>
          <a:endParaRPr lang="en-US" b="0"/>
        </a:p>
        <a:p>
          <a:r>
            <a:rPr lang="en-US" b="1"/>
            <a:t>Annual Makeup (MGY) </a:t>
          </a:r>
          <a:r>
            <a:rPr lang="en-US" b="0"/>
            <a:t>— The total yearly water consumption, scaled by load factor, used for water‑scarcity and sustainability analysis.</a:t>
          </a:r>
          <a:br>
            <a:rPr lang="en-US" b="0"/>
          </a:br>
          <a:endParaRPr lang="en-US" b="0"/>
        </a:p>
      </xdr:txBody>
    </xdr:sp>
    <xdr:clientData/>
  </xdr:twoCellAnchor>
  <xdr:twoCellAnchor editAs="oneCell">
    <xdr:from>
      <xdr:col>3</xdr:col>
      <xdr:colOff>85725</xdr:colOff>
      <xdr:row>50</xdr:row>
      <xdr:rowOff>95250</xdr:rowOff>
    </xdr:from>
    <xdr:to>
      <xdr:col>15</xdr:col>
      <xdr:colOff>314325</xdr:colOff>
      <xdr:row>64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A5C43C-AF5E-C948-7DE6-23D169CA0D29}"/>
            </a:ext>
            <a:ext uri="{147F2762-F138-4A5C-976F-8EAC2B608ADB}">
              <a16:predDERef xmlns:a16="http://schemas.microsoft.com/office/drawing/2014/main" pred="{6211333C-F9B8-9317-E79F-DCBF7904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0153650"/>
          <a:ext cx="10344150" cy="271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BB6E-C1C0-4A9D-BA3C-923E087DD123}">
  <dimension ref="B1:W22"/>
  <sheetViews>
    <sheetView tabSelected="1" zoomScaleNormal="100" workbookViewId="0">
      <selection activeCell="T15" sqref="T15"/>
    </sheetView>
  </sheetViews>
  <sheetFormatPr defaultRowHeight="15" x14ac:dyDescent="0.25"/>
  <cols>
    <col min="2" max="2" width="0.42578125" customWidth="1"/>
    <col min="3" max="3" width="1.140625" customWidth="1"/>
    <col min="4" max="4" width="3.42578125" customWidth="1"/>
    <col min="5" max="5" width="18.42578125" customWidth="1"/>
    <col min="6" max="6" width="13.85546875" style="3" customWidth="1"/>
    <col min="7" max="7" width="16.5703125" style="3" customWidth="1"/>
    <col min="8" max="8" width="14.5703125" style="3" customWidth="1"/>
    <col min="9" max="9" width="12.5703125" style="3" customWidth="1"/>
    <col min="10" max="10" width="15.7109375" style="3" customWidth="1"/>
    <col min="11" max="11" width="10.5703125" style="4" customWidth="1"/>
    <col min="12" max="13" width="10.5703125" style="3" customWidth="1"/>
    <col min="14" max="14" width="14.28515625" style="5" customWidth="1"/>
    <col min="15" max="16" width="10.5703125" style="3" customWidth="1"/>
    <col min="17" max="17" width="13.28515625" style="3" customWidth="1"/>
    <col min="18" max="18" width="14.28515625" style="3" customWidth="1"/>
    <col min="19" max="19" width="10.5703125" style="3" customWidth="1"/>
    <col min="20" max="20" width="13.42578125" style="3" customWidth="1"/>
    <col min="21" max="21" width="13.7109375" customWidth="1"/>
    <col min="22" max="22" width="12.28515625" customWidth="1"/>
    <col min="23" max="23" width="16.85546875" customWidth="1"/>
  </cols>
  <sheetData>
    <row r="1" spans="2:23" ht="15.75" thickBot="1" x14ac:dyDescent="0.3"/>
    <row r="2" spans="2:23" s="2" customFormat="1" ht="48" customHeight="1" thickBot="1" x14ac:dyDescent="0.3">
      <c r="E2" s="9" t="s">
        <v>0</v>
      </c>
      <c r="F2" s="25" t="s">
        <v>1</v>
      </c>
      <c r="G2" s="24" t="s">
        <v>2</v>
      </c>
      <c r="H2" s="24" t="s">
        <v>3</v>
      </c>
      <c r="I2" s="10" t="s">
        <v>4</v>
      </c>
      <c r="J2" s="10" t="s">
        <v>5</v>
      </c>
      <c r="K2" s="11" t="s">
        <v>6</v>
      </c>
      <c r="L2" s="10" t="s">
        <v>7</v>
      </c>
      <c r="M2" s="10" t="s">
        <v>8</v>
      </c>
      <c r="N2" s="12" t="s">
        <v>9</v>
      </c>
      <c r="O2" s="10" t="s">
        <v>10</v>
      </c>
      <c r="P2" s="10" t="s">
        <v>11</v>
      </c>
      <c r="Q2" s="10" t="s">
        <v>12</v>
      </c>
      <c r="R2" s="10" t="s">
        <v>13</v>
      </c>
      <c r="S2" s="10" t="s">
        <v>14</v>
      </c>
      <c r="T2" s="10" t="s">
        <v>15</v>
      </c>
      <c r="U2" s="10" t="s">
        <v>16</v>
      </c>
      <c r="V2" s="10" t="s">
        <v>17</v>
      </c>
      <c r="W2" s="13" t="s">
        <v>18</v>
      </c>
    </row>
    <row r="3" spans="2:23" x14ac:dyDescent="0.25">
      <c r="E3" s="109" t="s">
        <v>19</v>
      </c>
      <c r="F3" s="95" t="s">
        <v>20</v>
      </c>
      <c r="G3" s="72" t="s">
        <v>21</v>
      </c>
      <c r="H3" s="72">
        <v>100</v>
      </c>
      <c r="I3" s="62">
        <v>0.13</v>
      </c>
      <c r="J3" s="80">
        <f>H3*1000*365*I3</f>
        <v>4745000</v>
      </c>
      <c r="K3" s="74">
        <f>IF(G3=B5,0.8,0.6)</f>
        <v>0.8</v>
      </c>
      <c r="L3" s="76">
        <f>70-55</f>
        <v>15</v>
      </c>
      <c r="M3" s="76">
        <v>4</v>
      </c>
      <c r="N3" s="84">
        <f>H3*1000/3.517</f>
        <v>28433.323855558716</v>
      </c>
      <c r="O3" s="66">
        <f>0.001*N3*L3</f>
        <v>426.4998578333807</v>
      </c>
      <c r="P3" s="66">
        <f>O3/(M3-1)</f>
        <v>142.16661927779356</v>
      </c>
      <c r="Q3" s="66">
        <f>0.01*O3</f>
        <v>4.2649985783338069</v>
      </c>
      <c r="R3" s="66">
        <f>SUM(O3:Q3)</f>
        <v>572.93147568950803</v>
      </c>
      <c r="S3" s="68">
        <f>R3*60*24/10^6</f>
        <v>0.8250213249928916</v>
      </c>
      <c r="T3" s="66">
        <f>S3*365</f>
        <v>301.13278362240544</v>
      </c>
      <c r="U3" s="58">
        <f>T3*K3</f>
        <v>240.90622689792437</v>
      </c>
      <c r="V3" s="62">
        <v>4.9000000000000004</v>
      </c>
      <c r="W3" s="54">
        <f>(U3*(10^3))*$V$3</f>
        <v>1180440.5117998295</v>
      </c>
    </row>
    <row r="4" spans="2:23" ht="15.75" thickBot="1" x14ac:dyDescent="0.3">
      <c r="E4" s="108"/>
      <c r="F4" s="96"/>
      <c r="G4" s="73"/>
      <c r="H4" s="73"/>
      <c r="I4" s="63"/>
      <c r="J4" s="81"/>
      <c r="K4" s="75"/>
      <c r="L4" s="77"/>
      <c r="M4" s="77"/>
      <c r="N4" s="85"/>
      <c r="O4" s="67"/>
      <c r="P4" s="67"/>
      <c r="Q4" s="67"/>
      <c r="R4" s="67"/>
      <c r="S4" s="69"/>
      <c r="T4" s="67"/>
      <c r="U4" s="59"/>
      <c r="V4" s="63"/>
      <c r="W4" s="55"/>
    </row>
    <row r="5" spans="2:23" x14ac:dyDescent="0.25">
      <c r="B5" s="6" t="s">
        <v>21</v>
      </c>
      <c r="C5">
        <v>50</v>
      </c>
      <c r="E5" s="108" t="s">
        <v>22</v>
      </c>
      <c r="F5" s="106" t="s">
        <v>23</v>
      </c>
      <c r="G5" s="97" t="s">
        <v>21</v>
      </c>
      <c r="H5" s="97">
        <v>100</v>
      </c>
      <c r="I5" s="64">
        <v>0.12</v>
      </c>
      <c r="J5" s="82">
        <f>H5*1000*365*I5</f>
        <v>4380000</v>
      </c>
      <c r="K5" s="104">
        <f t="shared" ref="K5" si="0">IF(G5=B7,0.8,0.6)</f>
        <v>0.6</v>
      </c>
      <c r="L5" s="78">
        <v>20</v>
      </c>
      <c r="M5" s="78">
        <v>3</v>
      </c>
      <c r="N5" s="86">
        <f t="shared" ref="N5:N11" si="1">H5*1000/3.517</f>
        <v>28433.323855558716</v>
      </c>
      <c r="O5" s="60">
        <f t="shared" ref="O5:O11" si="2">0.001*N5*L5</f>
        <v>568.66647711117434</v>
      </c>
      <c r="P5" s="60">
        <f t="shared" ref="P5:P11" si="3">O5/(M5-1)</f>
        <v>284.33323855558717</v>
      </c>
      <c r="Q5" s="60">
        <f t="shared" ref="Q5:Q11" si="4">0.01*O5</f>
        <v>5.6866647711117437</v>
      </c>
      <c r="R5" s="60">
        <f t="shared" ref="R5:R11" si="5">SUM(O5:Q5)</f>
        <v>858.68638043787325</v>
      </c>
      <c r="S5" s="70">
        <f t="shared" ref="S5:S11" si="6">R5*60*24/10^6</f>
        <v>1.2365083878305374</v>
      </c>
      <c r="T5" s="60">
        <f t="shared" ref="T5:T11" si="7">S5*365</f>
        <v>451.32556155814615</v>
      </c>
      <c r="U5" s="60">
        <f t="shared" ref="U5:U11" si="8">T5*K5</f>
        <v>270.7953369348877</v>
      </c>
      <c r="V5" s="64">
        <v>5.5</v>
      </c>
      <c r="W5" s="56">
        <f>(U5*(10^3))*$V$5</f>
        <v>1489374.3531418822</v>
      </c>
    </row>
    <row r="6" spans="2:23" ht="15.75" thickBot="1" x14ac:dyDescent="0.3">
      <c r="B6" s="1" t="s">
        <v>24</v>
      </c>
      <c r="C6">
        <v>100</v>
      </c>
      <c r="E6" s="108"/>
      <c r="F6" s="107"/>
      <c r="G6" s="98"/>
      <c r="H6" s="98"/>
      <c r="I6" s="65"/>
      <c r="J6" s="83"/>
      <c r="K6" s="105"/>
      <c r="L6" s="79"/>
      <c r="M6" s="79"/>
      <c r="N6" s="87"/>
      <c r="O6" s="61"/>
      <c r="P6" s="61"/>
      <c r="Q6" s="61"/>
      <c r="R6" s="61"/>
      <c r="S6" s="71"/>
      <c r="T6" s="61"/>
      <c r="U6" s="61"/>
      <c r="V6" s="65"/>
      <c r="W6" s="57"/>
    </row>
    <row r="7" spans="2:23" ht="15.75" thickBot="1" x14ac:dyDescent="0.3">
      <c r="C7">
        <v>150</v>
      </c>
      <c r="E7" s="108" t="s">
        <v>25</v>
      </c>
      <c r="F7" s="95" t="s">
        <v>26</v>
      </c>
      <c r="G7" s="72" t="s">
        <v>21</v>
      </c>
      <c r="H7" s="72">
        <v>100</v>
      </c>
      <c r="I7" s="62">
        <v>0.13</v>
      </c>
      <c r="J7" s="80">
        <f>H7*1000*365*I7</f>
        <v>4745000</v>
      </c>
      <c r="K7" s="74">
        <f t="shared" ref="K7" si="9">IF(G7=B9,0.8,0.6)</f>
        <v>0.6</v>
      </c>
      <c r="L7" s="76">
        <v>15</v>
      </c>
      <c r="M7" s="76">
        <v>3</v>
      </c>
      <c r="N7" s="84">
        <f t="shared" si="1"/>
        <v>28433.323855558716</v>
      </c>
      <c r="O7" s="66">
        <f t="shared" si="2"/>
        <v>426.4998578333807</v>
      </c>
      <c r="P7" s="66">
        <f t="shared" si="3"/>
        <v>213.24992891669035</v>
      </c>
      <c r="Q7" s="66">
        <f t="shared" si="4"/>
        <v>4.2649985783338069</v>
      </c>
      <c r="R7" s="66">
        <f t="shared" si="5"/>
        <v>644.01478532840486</v>
      </c>
      <c r="S7" s="68">
        <f t="shared" si="6"/>
        <v>0.927381290872903</v>
      </c>
      <c r="T7" s="66">
        <f t="shared" si="7"/>
        <v>338.49417116860957</v>
      </c>
      <c r="U7" s="58">
        <f t="shared" si="8"/>
        <v>203.09650270116575</v>
      </c>
      <c r="V7" s="62">
        <v>3.5</v>
      </c>
      <c r="W7" s="54">
        <f>(U7*(10^3))*$V$7</f>
        <v>710837.75945408014</v>
      </c>
    </row>
    <row r="8" spans="2:23" ht="15.75" thickBot="1" x14ac:dyDescent="0.3">
      <c r="B8" s="7">
        <v>0.8</v>
      </c>
      <c r="C8">
        <v>200</v>
      </c>
      <c r="E8" s="108"/>
      <c r="F8" s="96"/>
      <c r="G8" s="73"/>
      <c r="H8" s="73"/>
      <c r="I8" s="63"/>
      <c r="J8" s="81"/>
      <c r="K8" s="75"/>
      <c r="L8" s="77"/>
      <c r="M8" s="77"/>
      <c r="N8" s="85"/>
      <c r="O8" s="67"/>
      <c r="P8" s="67"/>
      <c r="Q8" s="67"/>
      <c r="R8" s="67"/>
      <c r="S8" s="69"/>
      <c r="T8" s="67"/>
      <c r="U8" s="59"/>
      <c r="V8" s="63"/>
      <c r="W8" s="55"/>
    </row>
    <row r="9" spans="2:23" ht="15.75" thickBot="1" x14ac:dyDescent="0.3">
      <c r="B9" s="8">
        <v>0.6</v>
      </c>
      <c r="C9">
        <v>250</v>
      </c>
      <c r="E9" s="108" t="s">
        <v>27</v>
      </c>
      <c r="F9" s="106" t="s">
        <v>28</v>
      </c>
      <c r="G9" s="97" t="s">
        <v>21</v>
      </c>
      <c r="H9" s="97">
        <v>100</v>
      </c>
      <c r="I9" s="64">
        <v>0.3</v>
      </c>
      <c r="J9" s="82">
        <f>H9*1000*365*I9</f>
        <v>10950000</v>
      </c>
      <c r="K9" s="104">
        <f t="shared" ref="K9" si="10">IF(G9=B11,0.8,0.6)</f>
        <v>0.6</v>
      </c>
      <c r="L9" s="78">
        <v>20</v>
      </c>
      <c r="M9" s="78">
        <v>3</v>
      </c>
      <c r="N9" s="86">
        <f t="shared" si="1"/>
        <v>28433.323855558716</v>
      </c>
      <c r="O9" s="60">
        <f t="shared" si="2"/>
        <v>568.66647711117434</v>
      </c>
      <c r="P9" s="60">
        <f t="shared" si="3"/>
        <v>284.33323855558717</v>
      </c>
      <c r="Q9" s="60">
        <f t="shared" si="4"/>
        <v>5.6866647711117437</v>
      </c>
      <c r="R9" s="60">
        <f t="shared" si="5"/>
        <v>858.68638043787325</v>
      </c>
      <c r="S9" s="70">
        <f t="shared" si="6"/>
        <v>1.2365083878305374</v>
      </c>
      <c r="T9" s="60">
        <f t="shared" si="7"/>
        <v>451.32556155814615</v>
      </c>
      <c r="U9" s="60">
        <f t="shared" si="8"/>
        <v>270.7953369348877</v>
      </c>
      <c r="V9" s="64">
        <v>11.5</v>
      </c>
      <c r="W9" s="56">
        <f>(U9*(10^3))*$V$9</f>
        <v>3114146.3747512084</v>
      </c>
    </row>
    <row r="10" spans="2:23" ht="15.75" thickBot="1" x14ac:dyDescent="0.3">
      <c r="C10">
        <v>300</v>
      </c>
      <c r="E10" s="108"/>
      <c r="F10" s="107"/>
      <c r="G10" s="98"/>
      <c r="H10" s="98"/>
      <c r="I10" s="65"/>
      <c r="J10" s="83"/>
      <c r="K10" s="105"/>
      <c r="L10" s="79"/>
      <c r="M10" s="79"/>
      <c r="N10" s="87"/>
      <c r="O10" s="61"/>
      <c r="P10" s="61"/>
      <c r="Q10" s="61"/>
      <c r="R10" s="61"/>
      <c r="S10" s="71"/>
      <c r="T10" s="61"/>
      <c r="U10" s="61"/>
      <c r="V10" s="65"/>
      <c r="W10" s="57"/>
    </row>
    <row r="11" spans="2:23" x14ac:dyDescent="0.25">
      <c r="C11">
        <v>350</v>
      </c>
      <c r="E11" s="108" t="s">
        <v>29</v>
      </c>
      <c r="F11" s="95" t="s">
        <v>30</v>
      </c>
      <c r="G11" s="72" t="s">
        <v>21</v>
      </c>
      <c r="H11" s="72">
        <v>100</v>
      </c>
      <c r="I11" s="62">
        <v>0.12</v>
      </c>
      <c r="J11" s="80">
        <f t="shared" ref="J11" si="11">H11*1000*365*I11</f>
        <v>4380000</v>
      </c>
      <c r="K11" s="74">
        <f t="shared" ref="K11" si="12">IF(G11=B13,0.8,0.6)</f>
        <v>0.6</v>
      </c>
      <c r="L11" s="76">
        <v>10</v>
      </c>
      <c r="M11" s="76">
        <v>4</v>
      </c>
      <c r="N11" s="84">
        <f t="shared" si="1"/>
        <v>28433.323855558716</v>
      </c>
      <c r="O11" s="66">
        <f t="shared" si="2"/>
        <v>284.33323855558717</v>
      </c>
      <c r="P11" s="66">
        <f t="shared" si="3"/>
        <v>94.777746185195724</v>
      </c>
      <c r="Q11" s="66">
        <f t="shared" si="4"/>
        <v>2.8433323855558719</v>
      </c>
      <c r="R11" s="66">
        <f t="shared" si="5"/>
        <v>381.95431712633876</v>
      </c>
      <c r="S11" s="68">
        <f t="shared" si="6"/>
        <v>0.55001421666192785</v>
      </c>
      <c r="T11" s="66">
        <f t="shared" si="7"/>
        <v>200.75518908160367</v>
      </c>
      <c r="U11" s="58">
        <f t="shared" si="8"/>
        <v>120.4531134489622</v>
      </c>
      <c r="V11" s="62">
        <v>5.5</v>
      </c>
      <c r="W11" s="54">
        <f>(U11*(10^3))*$V$11</f>
        <v>662492.12396929215</v>
      </c>
    </row>
    <row r="12" spans="2:23" ht="15.75" thickBot="1" x14ac:dyDescent="0.3">
      <c r="C12">
        <v>400</v>
      </c>
      <c r="E12" s="110"/>
      <c r="F12" s="96"/>
      <c r="G12" s="73"/>
      <c r="H12" s="73"/>
      <c r="I12" s="63"/>
      <c r="J12" s="81"/>
      <c r="K12" s="75"/>
      <c r="L12" s="77"/>
      <c r="M12" s="77"/>
      <c r="N12" s="85"/>
      <c r="O12" s="67"/>
      <c r="P12" s="67"/>
      <c r="Q12" s="67"/>
      <c r="R12" s="67"/>
      <c r="S12" s="69"/>
      <c r="T12" s="67"/>
      <c r="U12" s="59"/>
      <c r="V12" s="63"/>
      <c r="W12" s="55"/>
    </row>
    <row r="13" spans="2:23" x14ac:dyDescent="0.25">
      <c r="C13">
        <v>450</v>
      </c>
    </row>
    <row r="14" spans="2:23" x14ac:dyDescent="0.25">
      <c r="C14">
        <v>550</v>
      </c>
      <c r="E14" s="51" t="s">
        <v>31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3"/>
    </row>
    <row r="15" spans="2:23" ht="15" customHeight="1" x14ac:dyDescent="0.25">
      <c r="C15">
        <v>600</v>
      </c>
      <c r="E15" s="92" t="s">
        <v>32</v>
      </c>
      <c r="F15" s="88" t="s">
        <v>33</v>
      </c>
      <c r="G15" s="88" t="s">
        <v>34</v>
      </c>
      <c r="H15" s="88" t="s">
        <v>35</v>
      </c>
      <c r="I15" s="88" t="s">
        <v>36</v>
      </c>
      <c r="J15" s="88" t="s">
        <v>37</v>
      </c>
      <c r="K15" s="99" t="s">
        <v>38</v>
      </c>
      <c r="L15" s="101" t="s">
        <v>39</v>
      </c>
      <c r="M15" s="47" t="s">
        <v>40</v>
      </c>
      <c r="N15" s="90" t="s">
        <v>41</v>
      </c>
      <c r="O15" s="88" t="s">
        <v>42</v>
      </c>
      <c r="P15" s="88" t="s">
        <v>43</v>
      </c>
      <c r="Q15" s="88" t="s">
        <v>44</v>
      </c>
      <c r="R15" s="111" t="s">
        <v>45</v>
      </c>
      <c r="S15" s="49" t="s">
        <v>46</v>
      </c>
      <c r="U15" s="3"/>
      <c r="V15" s="3"/>
      <c r="W15" s="3"/>
    </row>
    <row r="16" spans="2:23" x14ac:dyDescent="0.25">
      <c r="C16">
        <v>650</v>
      </c>
      <c r="E16" s="93"/>
      <c r="F16" s="88"/>
      <c r="G16" s="88"/>
      <c r="H16" s="88"/>
      <c r="I16" s="88"/>
      <c r="J16" s="88"/>
      <c r="K16" s="99"/>
      <c r="L16" s="102"/>
      <c r="M16" s="47"/>
      <c r="N16" s="90"/>
      <c r="O16" s="88" t="s">
        <v>47</v>
      </c>
      <c r="P16" s="88"/>
      <c r="Q16" s="88"/>
      <c r="R16" s="112"/>
      <c r="S16" s="49"/>
      <c r="U16" s="3"/>
      <c r="V16" s="3"/>
      <c r="W16" s="3"/>
    </row>
    <row r="17" spans="3:23" ht="15.75" thickBot="1" x14ac:dyDescent="0.3">
      <c r="C17">
        <v>700</v>
      </c>
      <c r="E17" s="94"/>
      <c r="F17" s="89"/>
      <c r="G17" s="89"/>
      <c r="H17" s="89"/>
      <c r="I17" s="89"/>
      <c r="J17" s="89"/>
      <c r="K17" s="100"/>
      <c r="L17" s="103"/>
      <c r="M17" s="48"/>
      <c r="N17" s="91"/>
      <c r="O17" s="89" t="s">
        <v>48</v>
      </c>
      <c r="P17" s="89"/>
      <c r="Q17" s="89"/>
      <c r="R17" s="113"/>
      <c r="S17" s="50"/>
      <c r="U17" s="3"/>
      <c r="V17" s="3"/>
      <c r="W17" s="3"/>
    </row>
    <row r="18" spans="3:23" x14ac:dyDescent="0.25">
      <c r="E18" s="14" t="s">
        <v>20</v>
      </c>
      <c r="F18" s="6">
        <v>10.233000000000001</v>
      </c>
      <c r="G18" s="6">
        <v>390</v>
      </c>
      <c r="H18" s="6">
        <v>0.499</v>
      </c>
      <c r="I18" s="6">
        <v>12422</v>
      </c>
      <c r="J18" s="6">
        <v>6198</v>
      </c>
      <c r="K18" s="28">
        <v>48</v>
      </c>
      <c r="L18" s="36">
        <f>J18*K18</f>
        <v>297504</v>
      </c>
      <c r="M18" s="35">
        <f>ROUND((L18-MIN($L$18:$L$22))/(MAX($L$18:$L$22)-MIN($L$18:$L$22)),2)</f>
        <v>0.91</v>
      </c>
      <c r="N18" s="26">
        <v>827820</v>
      </c>
      <c r="O18" s="6">
        <f>ROUND((N18/G18),0)</f>
        <v>2123</v>
      </c>
      <c r="P18" s="6">
        <f>ROUND(1+4*(O18-MIN($O$18,$O$19,$O$20,$O$21,$O$22))/(MAX($O$18,$O$19,$O$20,$O$21,$O$22)-MIN($O$18,$O$19,$O$20,$O$21,$O$22)),0)</f>
        <v>2</v>
      </c>
      <c r="Q18" s="6">
        <v>0.68513447400000005</v>
      </c>
      <c r="R18" s="15">
        <v>30.747</v>
      </c>
      <c r="S18" s="43">
        <f>(P18*2)+(M18*1.5)</f>
        <v>5.3650000000000002</v>
      </c>
      <c r="U18" s="3"/>
      <c r="V18" s="3"/>
      <c r="W18" s="3"/>
    </row>
    <row r="19" spans="3:23" x14ac:dyDescent="0.25">
      <c r="E19" s="16" t="s">
        <v>23</v>
      </c>
      <c r="F19" s="17">
        <v>24.181000000000001</v>
      </c>
      <c r="G19" s="17">
        <v>1712</v>
      </c>
      <c r="H19" s="17">
        <v>0.40799999999999997</v>
      </c>
      <c r="I19" s="17">
        <v>14196</v>
      </c>
      <c r="J19" s="17">
        <v>5792</v>
      </c>
      <c r="K19" s="29">
        <v>48</v>
      </c>
      <c r="L19" s="37">
        <f t="shared" ref="L19:L22" si="13">J19*K19</f>
        <v>278016</v>
      </c>
      <c r="M19" s="41">
        <f t="shared" ref="M19:M22" si="14">ROUND((L19-MIN($L$18:$L$22))/(MAX($L$18:$L$22)-MIN($L$18:$L$22)),2)</f>
        <v>0.84</v>
      </c>
      <c r="N19" s="32">
        <v>946080</v>
      </c>
      <c r="O19" s="17">
        <f>ROUND((N19/G19),0)</f>
        <v>553</v>
      </c>
      <c r="P19" s="17">
        <f>ROUND(1+4*(O19-MIN($O$18,$O$19,$O$20,$O$21,$O$22))/(MAX($O$18,$O$19,$O$20,$O$21,$O$22)-MIN($O$18,$O$19,$O$20,$O$21,$O$22)),0)</f>
        <v>1</v>
      </c>
      <c r="Q19" s="17">
        <v>0.65204563999999998</v>
      </c>
      <c r="R19" s="18">
        <v>120.622</v>
      </c>
      <c r="S19" s="45">
        <f t="shared" ref="S19:U22" si="15">(P19*2)+(M19*1.5)</f>
        <v>3.26</v>
      </c>
      <c r="U19" s="3"/>
      <c r="V19" s="3"/>
      <c r="W19" s="3"/>
    </row>
    <row r="20" spans="3:23" x14ac:dyDescent="0.25">
      <c r="E20" s="19" t="s">
        <v>26</v>
      </c>
      <c r="F20" s="20">
        <v>21.507999999999999</v>
      </c>
      <c r="G20" s="20">
        <v>183</v>
      </c>
      <c r="H20" s="20">
        <v>0.45400000000000001</v>
      </c>
      <c r="I20" s="20">
        <v>14788</v>
      </c>
      <c r="J20" s="20">
        <v>6714</v>
      </c>
      <c r="K20" s="30">
        <v>48</v>
      </c>
      <c r="L20" s="38">
        <f t="shared" si="13"/>
        <v>322272</v>
      </c>
      <c r="M20" s="35">
        <f t="shared" si="14"/>
        <v>1</v>
      </c>
      <c r="N20" s="33">
        <v>985500</v>
      </c>
      <c r="O20" s="20">
        <f>ROUND((N20/G20),0)</f>
        <v>5385</v>
      </c>
      <c r="P20" s="20">
        <f>ROUND(1+4*(O20-MIN($O$18,$O$19,$O$20,$O$21,$O$22))/(MAX($O$18,$O$19,$O$20,$O$21,$O$22)-MIN($O$18,$O$19,$O$20,$O$21,$O$22)),0)</f>
        <v>5</v>
      </c>
      <c r="Q20" s="20">
        <v>0.84718826400000002</v>
      </c>
      <c r="R20" s="21">
        <v>16.231000000000002</v>
      </c>
      <c r="S20" s="43">
        <f>(P20*2)+(M20*1.5)</f>
        <v>11.5</v>
      </c>
      <c r="U20" s="3"/>
      <c r="V20" s="3"/>
      <c r="W20" s="3"/>
    </row>
    <row r="21" spans="3:23" x14ac:dyDescent="0.25">
      <c r="E21" s="16" t="s">
        <v>28</v>
      </c>
      <c r="F21" s="17">
        <v>16.437999999999999</v>
      </c>
      <c r="G21" s="17">
        <v>249</v>
      </c>
      <c r="H21" s="17">
        <v>0.40799999999999997</v>
      </c>
      <c r="I21" s="17">
        <v>13013</v>
      </c>
      <c r="J21" s="17">
        <v>5309</v>
      </c>
      <c r="K21" s="29">
        <v>48</v>
      </c>
      <c r="L21" s="39">
        <f t="shared" si="13"/>
        <v>254832</v>
      </c>
      <c r="M21" s="42">
        <f t="shared" si="14"/>
        <v>0.76</v>
      </c>
      <c r="N21" s="32">
        <v>867240</v>
      </c>
      <c r="O21" s="17">
        <f>ROUND((N21/G21),0)</f>
        <v>3483</v>
      </c>
      <c r="P21" s="17">
        <f>ROUND(1+4*(O21-MIN($O$18,$O$19,$O$20,$O$21,$O$22))/(MAX($O$18,$O$19,$O$20,$O$21,$O$22)-MIN($O$18,$O$19,$O$20,$O$21,$O$22)),0)</f>
        <v>3</v>
      </c>
      <c r="Q21" s="17">
        <v>0.61268133700000005</v>
      </c>
      <c r="R21" s="18">
        <v>21.013999999999999</v>
      </c>
      <c r="S21" s="46">
        <f t="shared" si="15"/>
        <v>7.1400000000000006</v>
      </c>
      <c r="U21" s="3"/>
      <c r="V21" s="3"/>
      <c r="W21" s="3"/>
    </row>
    <row r="22" spans="3:23" ht="15.75" thickBot="1" x14ac:dyDescent="0.3">
      <c r="E22" s="22" t="s">
        <v>30</v>
      </c>
      <c r="F22" s="1">
        <v>11.103</v>
      </c>
      <c r="G22" s="1">
        <v>945</v>
      </c>
      <c r="H22" s="1">
        <v>9.0999999999999998E-2</v>
      </c>
      <c r="I22" s="1">
        <v>10056</v>
      </c>
      <c r="J22" s="1">
        <v>915</v>
      </c>
      <c r="K22" s="31">
        <v>48</v>
      </c>
      <c r="L22" s="40">
        <f t="shared" si="13"/>
        <v>43920</v>
      </c>
      <c r="M22" s="34">
        <f t="shared" si="14"/>
        <v>0</v>
      </c>
      <c r="N22" s="27">
        <v>670140</v>
      </c>
      <c r="O22" s="1">
        <f>ROUND((N22/G22),0)</f>
        <v>709</v>
      </c>
      <c r="P22" s="1">
        <f>ROUND(1+4*(O22-MIN($O$18,$O$19,$O$20,$O$21,$O$22))/(MAX($O$18,$O$19,$O$20,$O$21,$O$22)-MIN($O$18,$O$19,$O$20,$O$21,$O$22)),0)</f>
        <v>1</v>
      </c>
      <c r="Q22" s="1">
        <v>0.13457212700000001</v>
      </c>
      <c r="R22" s="23">
        <v>76.224000000000004</v>
      </c>
      <c r="S22" s="44">
        <f>(P22*2)+(M22*1.5)</f>
        <v>2</v>
      </c>
      <c r="U22" s="3"/>
      <c r="V22" s="3"/>
      <c r="W22" s="3"/>
    </row>
  </sheetData>
  <mergeCells count="111">
    <mergeCell ref="O3:O4"/>
    <mergeCell ref="O15:O17"/>
    <mergeCell ref="P15:P17"/>
    <mergeCell ref="Q15:Q17"/>
    <mergeCell ref="R15:R17"/>
    <mergeCell ref="G15:G17"/>
    <mergeCell ref="F11:F12"/>
    <mergeCell ref="F9:F10"/>
    <mergeCell ref="F7:F8"/>
    <mergeCell ref="F5:F6"/>
    <mergeCell ref="E5:E6"/>
    <mergeCell ref="E7:E8"/>
    <mergeCell ref="E3:E4"/>
    <mergeCell ref="E9:E10"/>
    <mergeCell ref="E11:E12"/>
    <mergeCell ref="E15:E17"/>
    <mergeCell ref="F15:F17"/>
    <mergeCell ref="F3:F4"/>
    <mergeCell ref="I3:I4"/>
    <mergeCell ref="N5:N6"/>
    <mergeCell ref="N3:N4"/>
    <mergeCell ref="G3:G4"/>
    <mergeCell ref="G5:G6"/>
    <mergeCell ref="G7:G8"/>
    <mergeCell ref="M3:M4"/>
    <mergeCell ref="L11:L12"/>
    <mergeCell ref="L9:L10"/>
    <mergeCell ref="L7:L8"/>
    <mergeCell ref="L5:L6"/>
    <mergeCell ref="L3:L4"/>
    <mergeCell ref="H3:H4"/>
    <mergeCell ref="H5:H6"/>
    <mergeCell ref="H11:H12"/>
    <mergeCell ref="H9:H10"/>
    <mergeCell ref="H7:H8"/>
    <mergeCell ref="K15:K17"/>
    <mergeCell ref="L15:L17"/>
    <mergeCell ref="G9:G10"/>
    <mergeCell ref="K3:K4"/>
    <mergeCell ref="J3:J4"/>
    <mergeCell ref="N11:N12"/>
    <mergeCell ref="N9:N10"/>
    <mergeCell ref="N7:N8"/>
    <mergeCell ref="I5:I6"/>
    <mergeCell ref="I7:I8"/>
    <mergeCell ref="I9:I10"/>
    <mergeCell ref="H15:H17"/>
    <mergeCell ref="I15:I17"/>
    <mergeCell ref="J15:J17"/>
    <mergeCell ref="N15:N17"/>
    <mergeCell ref="K5:K6"/>
    <mergeCell ref="K7:K8"/>
    <mergeCell ref="K9:K10"/>
    <mergeCell ref="I11:I12"/>
    <mergeCell ref="G11:G12"/>
    <mergeCell ref="K11:K12"/>
    <mergeCell ref="O11:O12"/>
    <mergeCell ref="O9:O10"/>
    <mergeCell ref="O7:O8"/>
    <mergeCell ref="O5:O6"/>
    <mergeCell ref="M11:M12"/>
    <mergeCell ref="M9:M10"/>
    <mergeCell ref="M7:M8"/>
    <mergeCell ref="M5:M6"/>
    <mergeCell ref="J11:J12"/>
    <mergeCell ref="J9:J10"/>
    <mergeCell ref="J7:J8"/>
    <mergeCell ref="J5:J6"/>
    <mergeCell ref="P11:P12"/>
    <mergeCell ref="Q11:Q12"/>
    <mergeCell ref="Q9:Q10"/>
    <mergeCell ref="Q7:Q8"/>
    <mergeCell ref="Q5:Q6"/>
    <mergeCell ref="P3:P4"/>
    <mergeCell ref="P5:P6"/>
    <mergeCell ref="P7:P8"/>
    <mergeCell ref="P9:P10"/>
    <mergeCell ref="S9:S10"/>
    <mergeCell ref="S7:S8"/>
    <mergeCell ref="S5:S6"/>
    <mergeCell ref="S3:S4"/>
    <mergeCell ref="Q3:Q4"/>
    <mergeCell ref="R11:R12"/>
    <mergeCell ref="R9:R10"/>
    <mergeCell ref="R7:R8"/>
    <mergeCell ref="R5:R6"/>
    <mergeCell ref="R3:R4"/>
    <mergeCell ref="M15:M17"/>
    <mergeCell ref="S15:S17"/>
    <mergeCell ref="E14:S14"/>
    <mergeCell ref="W11:W12"/>
    <mergeCell ref="W9:W10"/>
    <mergeCell ref="W7:W8"/>
    <mergeCell ref="W5:W6"/>
    <mergeCell ref="W3:W4"/>
    <mergeCell ref="U11:U12"/>
    <mergeCell ref="U9:U10"/>
    <mergeCell ref="U7:U8"/>
    <mergeCell ref="U5:U6"/>
    <mergeCell ref="U3:U4"/>
    <mergeCell ref="V11:V12"/>
    <mergeCell ref="V3:V4"/>
    <mergeCell ref="V5:V6"/>
    <mergeCell ref="V7:V8"/>
    <mergeCell ref="V9:V10"/>
    <mergeCell ref="T11:T12"/>
    <mergeCell ref="T9:T10"/>
    <mergeCell ref="T7:T8"/>
    <mergeCell ref="T5:T6"/>
    <mergeCell ref="T3:T4"/>
    <mergeCell ref="S11:S12"/>
  </mergeCells>
  <dataValidations count="2">
    <dataValidation type="list" allowBlank="1" showInputMessage="1" showErrorMessage="1" sqref="H11 H9 H7 H3 H5" xr:uid="{27DD0D95-016E-4F9E-BAEF-71D55C9B5D21}">
      <formula1>$C$5:$C$17</formula1>
    </dataValidation>
    <dataValidation type="list" allowBlank="1" showInputMessage="1" showErrorMessage="1" sqref="G3 G11 G9 G7 G5" xr:uid="{3794FBAB-22E2-4518-B07C-B0B02F192835}">
      <formula1>$B$5:$B$6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167A-543C-42FD-9FFA-AF7BF8A1ECCB}">
  <dimension ref="C4"/>
  <sheetViews>
    <sheetView workbookViewId="0">
      <selection activeCell="C4" sqref="C4"/>
    </sheetView>
  </sheetViews>
  <sheetFormatPr defaultRowHeight="15" x14ac:dyDescent="0.25"/>
  <sheetData>
    <row r="4" spans="3:3" x14ac:dyDescent="0.25">
      <c r="C4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321B36-EA42-458C-B08A-7CA35898CA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Cooling Cost Method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Peters,Logan</dc:creator>
  <cp:keywords/>
  <dc:description/>
  <cp:lastModifiedBy>Peters,Logan</cp:lastModifiedBy>
  <cp:revision/>
  <dcterms:created xsi:type="dcterms:W3CDTF">2026-02-12T01:03:23Z</dcterms:created>
  <dcterms:modified xsi:type="dcterms:W3CDTF">2026-04-02T22:36:39Z</dcterms:modified>
  <cp:category/>
  <cp:contentStatus/>
</cp:coreProperties>
</file>
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colostate-my.sharepoint.com/personal/c829804536_colostate_edu/Documents/Microsoft Teams Chat Files/"/>
    </mc:Choice>
  </mc:AlternateContent>
  <xr:revisionPtr revIDLastSave="93" documentId="13_ncr:1_{143D07AB-F20C-4929-836A-E19FFE3DAE4D}" xr6:coauthVersionLast="47" xr6:coauthVersionMax="47" xr10:uidLastSave="{EA8CE406-5AAC-4A98-BFBA-DF7FA625F68E}"/>
  <bookViews>
    <workbookView xWindow="11850" yWindow="0" windowWidth="16980" windowHeight="15585" activeTab="2" xr2:uid="{83A2F5A8-6268-4F4A-A0FD-FC6B17854872}"/>
  </bookViews>
  <sheets>
    <sheet name="Raw Data" sheetId="1" r:id="rId1"/>
    <sheet name="Reduced List" sheetId="3" r:id="rId2"/>
    <sheet name="Cooling Cost Method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2" l="1"/>
  <c r="H2" i="2"/>
  <c r="I2" i="2"/>
  <c r="J2" i="2"/>
  <c r="K2" i="2"/>
  <c r="L2" i="2"/>
  <c r="M2" i="2"/>
  <c r="N2" i="2"/>
  <c r="O2" i="2"/>
  <c r="F3" i="2"/>
  <c r="H3" i="2"/>
  <c r="I3" i="2"/>
  <c r="J3" i="2"/>
  <c r="L3" i="2" s="1"/>
  <c r="M3" i="2" s="1"/>
  <c r="N3" i="2" s="1"/>
  <c r="O3" i="2" s="1"/>
  <c r="K3" i="2"/>
  <c r="H4" i="2"/>
  <c r="I4" i="2" s="1"/>
  <c r="K4" i="2" s="1"/>
  <c r="H5" i="2"/>
  <c r="I5" i="2" s="1"/>
  <c r="J5" i="2" s="1"/>
  <c r="H6" i="2"/>
  <c r="I6" i="2" s="1"/>
  <c r="J6" i="2" s="1"/>
  <c r="H7" i="2"/>
  <c r="I7" i="2" s="1"/>
  <c r="H8" i="2"/>
  <c r="I8" i="2" s="1"/>
  <c r="J8" i="2" s="1"/>
  <c r="H9" i="2"/>
  <c r="I9" i="2"/>
  <c r="J9" i="2" s="1"/>
  <c r="H10" i="2"/>
  <c r="I10" i="2" s="1"/>
  <c r="H11" i="2"/>
  <c r="I11" i="2" s="1"/>
  <c r="J11" i="2" s="1"/>
  <c r="J10" i="2" l="1"/>
  <c r="K10" i="2"/>
  <c r="L10" i="2"/>
  <c r="M10" i="2" s="1"/>
  <c r="N10" i="2" s="1"/>
  <c r="O10" i="2" s="1"/>
  <c r="J7" i="2"/>
  <c r="K7" i="2"/>
  <c r="K11" i="2"/>
  <c r="L11" i="2" s="1"/>
  <c r="M11" i="2" s="1"/>
  <c r="N11" i="2" s="1"/>
  <c r="O11" i="2" s="1"/>
  <c r="K9" i="2"/>
  <c r="L9" i="2"/>
  <c r="M9" i="2" s="1"/>
  <c r="N9" i="2" s="1"/>
  <c r="O9" i="2" s="1"/>
  <c r="K8" i="2"/>
  <c r="L8" i="2" s="1"/>
  <c r="M8" i="2" s="1"/>
  <c r="N8" i="2" s="1"/>
  <c r="O8" i="2" s="1"/>
  <c r="L7" i="2"/>
  <c r="M7" i="2" s="1"/>
  <c r="N7" i="2" s="1"/>
  <c r="O7" i="2" s="1"/>
  <c r="K6" i="2"/>
  <c r="L6" i="2" s="1"/>
  <c r="M6" i="2" s="1"/>
  <c r="N6" i="2" s="1"/>
  <c r="O6" i="2" s="1"/>
  <c r="K5" i="2"/>
  <c r="L5" i="2" s="1"/>
  <c r="M5" i="2" s="1"/>
  <c r="N5" i="2" s="1"/>
  <c r="O5" i="2" s="1"/>
  <c r="J4" i="2"/>
  <c r="L4" i="2" s="1"/>
  <c r="M4" i="2" s="1"/>
  <c r="N4" i="2" s="1"/>
  <c r="O4" i="2" s="1"/>
</calcChain>
</file>

<file path=xl/sharedStrings.xml><?xml version="1.0" encoding="utf-8"?>
<sst xmlns="http://schemas.openxmlformats.org/spreadsheetml/2006/main" count="134" uniqueCount="72">
  <si>
    <t>city name</t>
  </si>
  <si>
    <r>
      <t>avg temp (</t>
    </r>
    <r>
      <rPr>
        <sz val="11"/>
        <color theme="1"/>
        <rFont val="Aptos Narrow"/>
        <family val="2"/>
      </rPr>
      <t>⁰</t>
    </r>
    <r>
      <rPr>
        <sz val="11"/>
        <color theme="1"/>
        <rFont val="Aptos Narrow"/>
        <family val="2"/>
        <scheme val="minor"/>
      </rPr>
      <t>C)</t>
    </r>
  </si>
  <si>
    <t>avg precipitation (mm)</t>
  </si>
  <si>
    <t>Grid Carbon Intensity (kgCO2/kWh)</t>
  </si>
  <si>
    <t>Climate Adjusted Electricity (MWh/year)</t>
  </si>
  <si>
    <t>Annual CO2 (metric tons)</t>
  </si>
  <si>
    <t>Climate Adjusted Water Use (gallons/year)</t>
  </si>
  <si>
    <t>Water Stress Score (1=low, 5=high)</t>
  </si>
  <si>
    <t>Sustainability Score</t>
  </si>
  <si>
    <t>Assumptions</t>
  </si>
  <si>
    <t>Center size</t>
  </si>
  <si>
    <t>MW</t>
  </si>
  <si>
    <t>Atlanta</t>
  </si>
  <si>
    <t>IT Load</t>
  </si>
  <si>
    <t>kWh/yr</t>
  </si>
  <si>
    <t>Austin</t>
  </si>
  <si>
    <t>Cool Load</t>
  </si>
  <si>
    <t>Boston</t>
  </si>
  <si>
    <t>Cool wat</t>
  </si>
  <si>
    <t>gal/yr</t>
  </si>
  <si>
    <t>Charlotte</t>
  </si>
  <si>
    <t>Wat cost</t>
  </si>
  <si>
    <t>$/1000 gal</t>
  </si>
  <si>
    <t>Chicago</t>
  </si>
  <si>
    <t>Elec cost</t>
  </si>
  <si>
    <t>$/kWh</t>
  </si>
  <si>
    <t>Cleveland</t>
  </si>
  <si>
    <t>Columbus</t>
  </si>
  <si>
    <t>Dallas</t>
  </si>
  <si>
    <t>Test</t>
  </si>
  <si>
    <t>Denver</t>
  </si>
  <si>
    <t>Test JC</t>
  </si>
  <si>
    <t>Fort Worth</t>
  </si>
  <si>
    <t>Houston</t>
  </si>
  <si>
    <t>Jacksonville</t>
  </si>
  <si>
    <t>Las Vegas</t>
  </si>
  <si>
    <t>Los Angeles</t>
  </si>
  <si>
    <t>Miami</t>
  </si>
  <si>
    <t>Minneapolis</t>
  </si>
  <si>
    <t>Nashville</t>
  </si>
  <si>
    <t>New York</t>
  </si>
  <si>
    <t>Orlando</t>
  </si>
  <si>
    <t>Phoenix</t>
  </si>
  <si>
    <t>Pittsburgh</t>
  </si>
  <si>
    <t>Portland</t>
  </si>
  <si>
    <t>San Antonio</t>
  </si>
  <si>
    <t>San Diego</t>
  </si>
  <si>
    <t>San Jose</t>
  </si>
  <si>
    <t>Seattle</t>
  </si>
  <si>
    <t>St. Louis</t>
  </si>
  <si>
    <t>Tampa</t>
  </si>
  <si>
    <t>City</t>
  </si>
  <si>
    <t>IT Load (MW)</t>
  </si>
  <si>
    <t>Load Factor (%)</t>
  </si>
  <si>
    <t>CoC</t>
  </si>
  <si>
    <t>Tons</t>
  </si>
  <si>
    <t>Blowdown (gpm)</t>
  </si>
  <si>
    <t>Evap     (gpm)</t>
  </si>
  <si>
    <t>Drift      (gpm)</t>
  </si>
  <si>
    <t>Peak Makeup (gpm)</t>
  </si>
  <si>
    <t>Peak Makeup (MGD)</t>
  </si>
  <si>
    <t>Peak Annual Makeup (MGY)</t>
  </si>
  <si>
    <t>Actual Annual Makeup (MGY)</t>
  </si>
  <si>
    <t>Data Center Type</t>
  </si>
  <si>
    <t>AI/ML Cluster</t>
  </si>
  <si>
    <t>Hyperscale Cloud</t>
  </si>
  <si>
    <t>Cold and Dry</t>
  </si>
  <si>
    <t>Hot and Wet</t>
  </si>
  <si>
    <t>Hot and Dry</t>
  </si>
  <si>
    <t>Cold and Wet</t>
  </si>
  <si>
    <t>Moderate</t>
  </si>
  <si>
    <r>
      <t>Range            (</t>
    </r>
    <r>
      <rPr>
        <b/>
        <sz val="11"/>
        <color theme="1"/>
        <rFont val="Aptos Narrow"/>
        <family val="2"/>
      </rPr>
      <t>°C)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</si>
</sst>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ptos Narrow"/>
      <family val="2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2" fillId="0" borderId="0" xfId="0" applyFont="1"/>
    <xf numFmtId="0" fontId="0" fillId="4" borderId="0" xfId="0" applyFill="1"/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3" fillId="5" borderId="0" xfId="0" applyFont="1" applyFill="1" applyAlignment="1">
      <alignment horizontal="center" vertical="center" wrapText="1"/>
    </xf>
    <xf numFmtId="9" fontId="3" fillId="5" borderId="0" xfId="0" applyNumberFormat="1" applyFont="1" applyFill="1" applyAlignment="1">
      <alignment horizontal="center" vertical="center" wrapText="1"/>
    </xf>
    <xf numFmtId="9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3" fontId="3" fillId="5" borderId="0" xfId="0" applyNumberFormat="1" applyFont="1" applyFill="1" applyAlignment="1">
      <alignment horizontal="center" vertical="center" wrapText="1"/>
    </xf>
    <xf numFmtId="3" fontId="0" fillId="0" borderId="0" xfId="0" applyNumberFormat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0" borderId="0" xfId="0" applyAlignment="1">
      <alignment horizontal="center"/>
    </xf>
    <xf numFmtId="0" fontId="0" fillId="2" borderId="3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 wrapText="1"/>
    </xf>
    <xf numFmtId="0" fontId="0" fillId="0" borderId="5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0" xfId="0" applyAlignment="1">
      <alignment horizontal="right"/>
    </xf>
    <xf numFmtId="0" fontId="0" fillId="0" borderId="10" xfId="0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114300</xdr:colOff>
      <xdr:row>11</xdr:row>
      <xdr:rowOff>69850</xdr:rowOff>
    </xdr:from>
    <xdr:to>
      <xdr:col>15</xdr:col>
      <xdr:colOff>19050</xdr:colOff>
      <xdr:row>39</xdr:row>
      <xdr:rowOff>69850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211333C-F9B8-9317-E79F-DCBF79044BD3}"/>
            </a:ext>
          </a:extLst>
        </xdr:cNvPr>
        <xdr:cNvSpPr txBox="1"/>
      </xdr:nvSpPr>
      <xdr:spPr>
        <a:xfrm>
          <a:off x="114300" y="2647950"/>
          <a:ext cx="11220450" cy="51562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b="1" u="sng"/>
            <a:t>Summary</a:t>
          </a:r>
          <a:r>
            <a:rPr lang="en-US" b="1" u="sng" baseline="0"/>
            <a:t> of Parameters</a:t>
          </a:r>
          <a:endParaRPr lang="en-US" b="1" u="sng"/>
        </a:p>
        <a:p>
          <a:endParaRPr lang="en-US" b="0"/>
        </a:p>
        <a:p>
          <a:r>
            <a:rPr lang="en-US" b="1"/>
            <a:t>City </a:t>
          </a:r>
          <a:r>
            <a:rPr lang="en-US" b="0"/>
            <a:t>— Identifies the geographic location so you can compare climate‑driven differences in water use.</a:t>
          </a:r>
          <a:br>
            <a:rPr lang="en-US" b="0"/>
          </a:br>
          <a:endParaRPr lang="en-US" b="0"/>
        </a:p>
        <a:p>
          <a:r>
            <a:rPr lang="en-US" b="1"/>
            <a:t>IT Load (MW) </a:t>
          </a:r>
          <a:r>
            <a:rPr lang="en-US" b="0"/>
            <a:t>— The total computing power that ultimately becomes heat the cooling system must reject.</a:t>
          </a:r>
          <a:br>
            <a:rPr lang="en-US" b="0"/>
          </a:br>
          <a:r>
            <a:rPr lang="en-US" b="0"/>
            <a:t>Input value in MW (e.g., P</a:t>
          </a:r>
          <a:r>
            <a:rPr lang="en-US" b="0" baseline="-25000"/>
            <a:t>IT</a:t>
          </a:r>
          <a:r>
            <a:rPr lang="en-US" b="0" baseline="0"/>
            <a:t>). This is assumed to be the same for each City.</a:t>
          </a:r>
          <a:endParaRPr lang="en-US" b="0"/>
        </a:p>
        <a:p>
          <a:endParaRPr lang="en-US" b="0"/>
        </a:p>
        <a:p>
          <a:r>
            <a:rPr lang="en-US" b="1"/>
            <a:t>Load Factor (%)</a:t>
          </a:r>
          <a:r>
            <a:rPr lang="en-US" b="0"/>
            <a:t> — The average fraction of full IT load the data center runs at over time, used to scale annual water use.  Two different IT loads are considred for this project:</a:t>
          </a:r>
          <a:r>
            <a:rPr lang="en-US" b="0" baseline="0"/>
            <a:t>  60% for hyperscale cloud data centers and 80% for AI/ML cluster data cente.</a:t>
          </a:r>
          <a:br>
            <a:rPr lang="en-US" b="0"/>
          </a:br>
          <a:endParaRPr lang="en-US" b="0"/>
        </a:p>
        <a:p>
          <a:r>
            <a:rPr lang="en-US" b="1"/>
            <a:t>Range (°F) </a:t>
          </a:r>
          <a:r>
            <a:rPr lang="en-US" b="0"/>
            <a:t>— The temperature drop across the cooling tower (hot‑water return minus cold‑water supply), which directly sets evaporation.  This assumes the allowable hot water return temperature is 70 °</a:t>
          </a:r>
          <a:r>
            <a:rPr lang="en-US" b="0" baseline="0"/>
            <a:t>F. The cold-water supply will vary from 55 - 60 °F based on the average temperature of the City. We can use our judgement to estimate the cold-water supply temperature.</a:t>
          </a:r>
          <a:br>
            <a:rPr lang="en-US" b="0"/>
          </a:br>
          <a:endParaRPr lang="en-US" b="0"/>
        </a:p>
        <a:p>
          <a:r>
            <a:rPr lang="en-US" b="1"/>
            <a:t>Cycles of Concentration (CoC) </a:t>
          </a:r>
          <a:r>
            <a:rPr lang="en-US" b="0"/>
            <a:t>— How many times dissolved minerals are allowed to concentrate before blowdown occurs, which determines blowdown volume. This is a function of water quality and treatment practices.  Hard water has lower</a:t>
          </a:r>
          <a:r>
            <a:rPr lang="en-US" b="0" baseline="0"/>
            <a:t> CoC and soft water has higher CoC.  The typical range is 3 - 5.  We can use our judgement to estimate CoC.</a:t>
          </a:r>
          <a:br>
            <a:rPr lang="en-US" b="0"/>
          </a:br>
          <a:endParaRPr lang="en-US" b="0"/>
        </a:p>
        <a:p>
          <a:r>
            <a:rPr lang="en-US" b="1"/>
            <a:t>Tons</a:t>
          </a:r>
          <a:r>
            <a:rPr lang="en-US" b="0"/>
            <a:t> — The cooling capacity required, calculated from IT load, and used as the basis for evaporation estimates.</a:t>
          </a:r>
        </a:p>
        <a:p>
          <a:endParaRPr lang="en-US" b="0"/>
        </a:p>
        <a:p>
          <a:r>
            <a:rPr lang="en-US" b="1"/>
            <a:t>Evap (gpm) </a:t>
          </a:r>
          <a:r>
            <a:rPr lang="en-US" b="0"/>
            <a:t>— The water lost to evaporation, which is the fundamental mechanism for heat rejection in a cooling tower.</a:t>
          </a:r>
          <a:br>
            <a:rPr lang="en-US" b="0"/>
          </a:br>
          <a:endParaRPr lang="en-US" b="0"/>
        </a:p>
        <a:p>
          <a:r>
            <a:rPr lang="en-US" b="1"/>
            <a:t>Blowdown (gpm) </a:t>
          </a:r>
          <a:r>
            <a:rPr lang="en-US" b="0"/>
            <a:t>— The water intentionally discharged to control mineral buildup, determined by evaporation and CoC.</a:t>
          </a:r>
          <a:br>
            <a:rPr lang="en-US" b="0"/>
          </a:br>
          <a:endParaRPr lang="en-US" b="0"/>
        </a:p>
        <a:p>
          <a:r>
            <a:rPr lang="en-US" b="1"/>
            <a:t>Drift (gpm) </a:t>
          </a:r>
          <a:r>
            <a:rPr lang="en-US" b="0"/>
            <a:t>— The small amount of water lost as droplets carried out of the tower exhaust air.</a:t>
          </a:r>
          <a:br>
            <a:rPr lang="en-US" b="0"/>
          </a:br>
          <a:endParaRPr lang="en-US" b="0"/>
        </a:p>
        <a:p>
          <a:r>
            <a:rPr lang="en-US" b="1"/>
            <a:t>Makeup (gpm) </a:t>
          </a:r>
          <a:r>
            <a:rPr lang="en-US" b="0"/>
            <a:t>— The total city‑water demand needed to replace evaporation, blowdown, and drift.</a:t>
          </a:r>
          <a:br>
            <a:rPr lang="en-US" b="0"/>
          </a:br>
          <a:endParaRPr lang="en-US" b="0"/>
        </a:p>
        <a:p>
          <a:r>
            <a:rPr lang="en-US" b="1"/>
            <a:t>Makeup (MGD) </a:t>
          </a:r>
          <a:r>
            <a:rPr lang="en-US" b="0"/>
            <a:t>— The daily volume of city water required to operate the cooling system at the specified load.</a:t>
          </a:r>
          <a:br>
            <a:rPr lang="en-US" b="0"/>
          </a:br>
          <a:endParaRPr lang="en-US" b="0"/>
        </a:p>
        <a:p>
          <a:r>
            <a:rPr lang="en-US" b="1"/>
            <a:t>Annual Makeup (MGY) </a:t>
          </a:r>
          <a:r>
            <a:rPr lang="en-US" b="0"/>
            <a:t>— The total yearly water consumption, scaled by load factor, used for water‑scarcity and sustainability analysis.</a:t>
          </a:r>
          <a:br>
            <a:rPr lang="en-US" b="0"/>
          </a:br>
          <a:endParaRPr lang="en-US" b="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00A47-9191-47ED-9C7A-28217B165E68}">
  <dimension ref="B3:N34"/>
  <sheetViews>
    <sheetView topLeftCell="F1" zoomScaleNormal="100" workbookViewId="0">
      <selection activeCell="F4" sqref="F4:N34"/>
    </sheetView>
  </sheetViews>
  <sheetFormatPr defaultRowHeight="15" x14ac:dyDescent="0.25"/>
  <cols>
    <col min="2" max="2" width="11.28515625" customWidth="1"/>
    <col min="3" max="3" width="10" bestFit="1" customWidth="1"/>
    <col min="4" max="4" width="10.5703125" customWidth="1"/>
    <col min="6" max="6" width="15.85546875" customWidth="1"/>
    <col min="7" max="7" width="14.42578125" customWidth="1"/>
    <col min="8" max="8" width="21" customWidth="1"/>
    <col min="9" max="9" width="12.28515625" customWidth="1"/>
    <col min="10" max="10" width="15.7109375" customWidth="1"/>
    <col min="11" max="11" width="13.5703125" customWidth="1"/>
    <col min="12" max="12" width="17.42578125" customWidth="1"/>
    <col min="13" max="13" width="18.5703125" customWidth="1"/>
    <col min="14" max="14" width="15" customWidth="1"/>
  </cols>
  <sheetData>
    <row r="3" spans="2:14" ht="15.75" thickBot="1" x14ac:dyDescent="0.3"/>
    <row r="4" spans="2:14" x14ac:dyDescent="0.25">
      <c r="F4" s="29" t="s">
        <v>0</v>
      </c>
      <c r="G4" s="26" t="s">
        <v>1</v>
      </c>
      <c r="H4" s="26" t="s">
        <v>2</v>
      </c>
      <c r="I4" s="26" t="s">
        <v>3</v>
      </c>
      <c r="J4" s="26" t="s">
        <v>4</v>
      </c>
      <c r="K4" s="26" t="s">
        <v>5</v>
      </c>
      <c r="L4" s="26" t="s">
        <v>6</v>
      </c>
      <c r="M4" s="26" t="s">
        <v>7</v>
      </c>
      <c r="N4" s="32" t="s">
        <v>8</v>
      </c>
    </row>
    <row r="5" spans="2:14" x14ac:dyDescent="0.25">
      <c r="F5" s="30"/>
      <c r="G5" s="27"/>
      <c r="H5" s="27"/>
      <c r="I5" s="27"/>
      <c r="J5" s="27"/>
      <c r="K5" s="27"/>
      <c r="L5" s="27"/>
      <c r="M5" s="27"/>
      <c r="N5" s="33"/>
    </row>
    <row r="6" spans="2:14" ht="15.75" thickBot="1" x14ac:dyDescent="0.3">
      <c r="B6" s="25" t="s">
        <v>9</v>
      </c>
      <c r="C6" s="25"/>
      <c r="D6" s="25"/>
      <c r="F6" s="31"/>
      <c r="G6" s="28"/>
      <c r="H6" s="28"/>
      <c r="I6" s="28"/>
      <c r="J6" s="28"/>
      <c r="K6" s="28"/>
      <c r="L6" s="28"/>
      <c r="M6" s="28"/>
      <c r="N6" s="34"/>
    </row>
    <row r="7" spans="2:14" x14ac:dyDescent="0.25">
      <c r="B7" t="s">
        <v>10</v>
      </c>
      <c r="C7">
        <v>1</v>
      </c>
      <c r="D7" t="s">
        <v>11</v>
      </c>
      <c r="F7" s="3" t="s">
        <v>12</v>
      </c>
      <c r="G7" s="4">
        <v>16.033999999999999</v>
      </c>
      <c r="H7" s="4">
        <v>108.383</v>
      </c>
      <c r="I7" s="4">
        <v>0.499</v>
      </c>
      <c r="J7" s="4">
        <v>13604</v>
      </c>
      <c r="K7" s="4">
        <v>6789</v>
      </c>
      <c r="L7" s="4">
        <v>906660</v>
      </c>
      <c r="M7" s="4">
        <v>3</v>
      </c>
      <c r="N7" s="5">
        <v>0.73330073299999998</v>
      </c>
    </row>
    <row r="8" spans="2:14" x14ac:dyDescent="0.25">
      <c r="B8" t="s">
        <v>13</v>
      </c>
      <c r="C8">
        <v>8760000</v>
      </c>
      <c r="D8" t="s">
        <v>14</v>
      </c>
      <c r="F8" s="6" t="s">
        <v>15</v>
      </c>
      <c r="G8" s="2">
        <v>19.849</v>
      </c>
      <c r="H8" s="2">
        <v>70.185000000000002</v>
      </c>
      <c r="I8" s="2">
        <v>0.43099999999999999</v>
      </c>
      <c r="J8" s="2">
        <v>13604</v>
      </c>
      <c r="K8" s="2">
        <v>5864</v>
      </c>
      <c r="L8" s="2">
        <v>906660</v>
      </c>
      <c r="M8" s="2">
        <v>4</v>
      </c>
      <c r="N8" s="7">
        <v>0.71791360999999998</v>
      </c>
    </row>
    <row r="9" spans="2:14" x14ac:dyDescent="0.25">
      <c r="B9" s="13" t="s">
        <v>16</v>
      </c>
      <c r="C9" s="13">
        <v>3070000</v>
      </c>
      <c r="D9" s="13" t="s">
        <v>14</v>
      </c>
      <c r="F9" s="8" t="s">
        <v>17</v>
      </c>
      <c r="G9" s="1">
        <v>9.5210000000000008</v>
      </c>
      <c r="H9" s="1">
        <v>95.132999999999996</v>
      </c>
      <c r="I9" s="1">
        <v>0.36299999999999999</v>
      </c>
      <c r="J9" s="1">
        <v>11238</v>
      </c>
      <c r="K9" s="1">
        <v>4080</v>
      </c>
      <c r="L9" s="1">
        <v>748980</v>
      </c>
      <c r="M9" s="1">
        <v>2</v>
      </c>
      <c r="N9" s="9">
        <v>0.45251833699999999</v>
      </c>
    </row>
    <row r="10" spans="2:14" x14ac:dyDescent="0.25">
      <c r="B10" t="s">
        <v>18</v>
      </c>
      <c r="C10">
        <v>788000</v>
      </c>
      <c r="D10" t="s">
        <v>19</v>
      </c>
      <c r="F10" s="6" t="s">
        <v>20</v>
      </c>
      <c r="G10" s="2">
        <v>15.423999999999999</v>
      </c>
      <c r="H10" s="2">
        <v>96.49</v>
      </c>
      <c r="I10" s="2">
        <v>0.54400000000000004</v>
      </c>
      <c r="J10" s="2">
        <v>13013</v>
      </c>
      <c r="K10" s="2">
        <v>7079</v>
      </c>
      <c r="L10" s="2">
        <v>867240</v>
      </c>
      <c r="M10" s="2">
        <v>3</v>
      </c>
      <c r="N10" s="7">
        <v>0.75693561499999995</v>
      </c>
    </row>
    <row r="11" spans="2:14" x14ac:dyDescent="0.25">
      <c r="B11" s="14" t="s">
        <v>21</v>
      </c>
      <c r="C11" s="14">
        <v>13.36</v>
      </c>
      <c r="D11" s="14" t="s">
        <v>22</v>
      </c>
      <c r="F11" s="8" t="s">
        <v>23</v>
      </c>
      <c r="G11" s="1">
        <v>9.8810000000000002</v>
      </c>
      <c r="H11" s="1">
        <v>73.608999999999995</v>
      </c>
      <c r="I11" s="1">
        <v>0.40799999999999997</v>
      </c>
      <c r="J11" s="1">
        <v>11830</v>
      </c>
      <c r="K11" s="1">
        <v>4827</v>
      </c>
      <c r="L11" s="1">
        <v>788400</v>
      </c>
      <c r="M11" s="1">
        <v>2</v>
      </c>
      <c r="N11" s="9">
        <v>0.51339853300000005</v>
      </c>
    </row>
    <row r="12" spans="2:14" x14ac:dyDescent="0.25">
      <c r="B12" t="s">
        <v>24</v>
      </c>
      <c r="C12">
        <v>0.25</v>
      </c>
      <c r="D12" t="s">
        <v>25</v>
      </c>
      <c r="F12" s="6" t="s">
        <v>26</v>
      </c>
      <c r="G12" s="2">
        <v>10.324</v>
      </c>
      <c r="H12" s="2">
        <v>74.114999999999995</v>
      </c>
      <c r="I12" s="2">
        <v>0.72599999999999998</v>
      </c>
      <c r="J12" s="2">
        <v>11830</v>
      </c>
      <c r="K12" s="2">
        <v>8589</v>
      </c>
      <c r="L12" s="2">
        <v>788400</v>
      </c>
      <c r="M12" s="2">
        <v>2</v>
      </c>
      <c r="N12" s="7">
        <v>0.82</v>
      </c>
    </row>
    <row r="13" spans="2:14" x14ac:dyDescent="0.25">
      <c r="F13" s="8" t="s">
        <v>27</v>
      </c>
      <c r="G13" s="1">
        <v>11.242000000000001</v>
      </c>
      <c r="H13" s="1">
        <v>82.866</v>
      </c>
      <c r="I13" s="1">
        <v>0.72599999999999998</v>
      </c>
      <c r="J13" s="1">
        <v>11830</v>
      </c>
      <c r="K13" s="1">
        <v>8589</v>
      </c>
      <c r="L13" s="1">
        <v>788400</v>
      </c>
      <c r="M13" s="1">
        <v>2</v>
      </c>
      <c r="N13" s="9">
        <v>0.82</v>
      </c>
    </row>
    <row r="14" spans="2:14" x14ac:dyDescent="0.25">
      <c r="F14" s="6" t="s">
        <v>28</v>
      </c>
      <c r="G14" s="2">
        <v>18.763999999999999</v>
      </c>
      <c r="H14" s="2">
        <v>76.909000000000006</v>
      </c>
      <c r="I14" s="2">
        <v>0.43099999999999999</v>
      </c>
      <c r="J14" s="2">
        <v>14196</v>
      </c>
      <c r="K14" s="2">
        <v>6118</v>
      </c>
      <c r="L14" s="2">
        <v>946080</v>
      </c>
      <c r="M14" s="2">
        <v>4</v>
      </c>
      <c r="N14" s="7">
        <v>0.73861450699999998</v>
      </c>
    </row>
    <row r="15" spans="2:14" x14ac:dyDescent="0.25">
      <c r="B15" t="s">
        <v>29</v>
      </c>
      <c r="F15" s="8" t="s">
        <v>30</v>
      </c>
      <c r="G15" s="1">
        <v>10.233000000000001</v>
      </c>
      <c r="H15" s="1">
        <v>30.747</v>
      </c>
      <c r="I15" s="1">
        <v>0.499</v>
      </c>
      <c r="J15" s="1">
        <v>12422</v>
      </c>
      <c r="K15" s="1">
        <v>6198</v>
      </c>
      <c r="L15" s="1">
        <v>827820</v>
      </c>
      <c r="M15" s="1">
        <v>3</v>
      </c>
      <c r="N15" s="9">
        <v>0.68513447400000005</v>
      </c>
    </row>
    <row r="16" spans="2:14" x14ac:dyDescent="0.25">
      <c r="B16" t="s">
        <v>31</v>
      </c>
      <c r="F16" s="6" t="s">
        <v>32</v>
      </c>
      <c r="G16" s="2">
        <v>18.771999999999998</v>
      </c>
      <c r="H16" s="2">
        <v>70.992000000000004</v>
      </c>
      <c r="I16" s="2">
        <v>0.43099999999999999</v>
      </c>
      <c r="J16" s="2">
        <v>14196</v>
      </c>
      <c r="K16" s="2">
        <v>6118</v>
      </c>
      <c r="L16" s="2">
        <v>946080</v>
      </c>
      <c r="M16" s="2">
        <v>4</v>
      </c>
      <c r="N16" s="7">
        <v>0.73861450699999998</v>
      </c>
    </row>
    <row r="17" spans="6:14" x14ac:dyDescent="0.25">
      <c r="F17" s="8" t="s">
        <v>33</v>
      </c>
      <c r="G17" s="1">
        <v>20.689</v>
      </c>
      <c r="H17" s="1">
        <v>101.946</v>
      </c>
      <c r="I17" s="1">
        <v>0.43099999999999999</v>
      </c>
      <c r="J17" s="1">
        <v>14196</v>
      </c>
      <c r="K17" s="1">
        <v>6118</v>
      </c>
      <c r="L17" s="1">
        <v>946080</v>
      </c>
      <c r="M17" s="1">
        <v>4</v>
      </c>
      <c r="N17" s="9">
        <v>0.73861450699999998</v>
      </c>
    </row>
    <row r="18" spans="6:14" x14ac:dyDescent="0.25">
      <c r="F18" s="6" t="s">
        <v>34</v>
      </c>
      <c r="G18" s="2">
        <v>20.268000000000001</v>
      </c>
      <c r="H18" s="2">
        <v>105.20099999999999</v>
      </c>
      <c r="I18" s="2">
        <v>0.40799999999999997</v>
      </c>
      <c r="J18" s="2">
        <v>13604</v>
      </c>
      <c r="K18" s="2">
        <v>5551</v>
      </c>
      <c r="L18" s="2">
        <v>906660</v>
      </c>
      <c r="M18" s="2">
        <v>3</v>
      </c>
      <c r="N18" s="7">
        <v>0.63240423800000001</v>
      </c>
    </row>
    <row r="19" spans="6:14" x14ac:dyDescent="0.25">
      <c r="F19" s="8" t="s">
        <v>35</v>
      </c>
      <c r="G19" s="1">
        <v>19.584</v>
      </c>
      <c r="H19" s="1">
        <v>9.14</v>
      </c>
      <c r="I19" s="1">
        <v>0.45400000000000001</v>
      </c>
      <c r="J19" s="1">
        <v>14788</v>
      </c>
      <c r="K19" s="1">
        <v>6714</v>
      </c>
      <c r="L19" s="1">
        <v>985500</v>
      </c>
      <c r="M19" s="1">
        <v>5</v>
      </c>
      <c r="N19" s="9">
        <v>0.84718826400000002</v>
      </c>
    </row>
    <row r="20" spans="6:14" x14ac:dyDescent="0.25">
      <c r="F20" s="6" t="s">
        <v>36</v>
      </c>
      <c r="G20" s="2">
        <v>17.655000000000001</v>
      </c>
      <c r="H20" s="2">
        <v>31.876999999999999</v>
      </c>
      <c r="I20" s="2">
        <v>0.40799999999999997</v>
      </c>
      <c r="J20" s="2">
        <v>13604</v>
      </c>
      <c r="K20" s="2">
        <v>5551</v>
      </c>
      <c r="L20" s="2">
        <v>906660</v>
      </c>
      <c r="M20" s="2">
        <v>3</v>
      </c>
      <c r="N20" s="7">
        <v>0.63240423800000001</v>
      </c>
    </row>
    <row r="21" spans="6:14" x14ac:dyDescent="0.25">
      <c r="F21" s="8" t="s">
        <v>37</v>
      </c>
      <c r="G21" s="1">
        <v>24.181000000000001</v>
      </c>
      <c r="H21" s="1">
        <v>120.622</v>
      </c>
      <c r="I21" s="1">
        <v>0.40799999999999997</v>
      </c>
      <c r="J21" s="1">
        <v>14196</v>
      </c>
      <c r="K21" s="1">
        <v>5792</v>
      </c>
      <c r="L21" s="1">
        <v>946080</v>
      </c>
      <c r="M21" s="1">
        <v>3</v>
      </c>
      <c r="N21" s="9">
        <v>0.65204563999999998</v>
      </c>
    </row>
    <row r="22" spans="6:14" x14ac:dyDescent="0.25">
      <c r="F22" s="6" t="s">
        <v>38</v>
      </c>
      <c r="G22" s="2">
        <v>6.87</v>
      </c>
      <c r="H22" s="2">
        <v>62.133000000000003</v>
      </c>
      <c r="I22" s="2">
        <v>0.54400000000000004</v>
      </c>
      <c r="J22" s="2">
        <v>11238</v>
      </c>
      <c r="K22" s="2">
        <v>6114</v>
      </c>
      <c r="L22" s="2">
        <v>748980</v>
      </c>
      <c r="M22" s="2">
        <v>2</v>
      </c>
      <c r="N22" s="7">
        <v>0.61828850899999999</v>
      </c>
    </row>
    <row r="23" spans="6:14" x14ac:dyDescent="0.25">
      <c r="F23" s="8" t="s">
        <v>39</v>
      </c>
      <c r="G23" s="1">
        <v>14.941000000000001</v>
      </c>
      <c r="H23" s="1">
        <v>102.905</v>
      </c>
      <c r="I23" s="1">
        <v>0.54400000000000004</v>
      </c>
      <c r="J23" s="1">
        <v>13013</v>
      </c>
      <c r="K23" s="1">
        <v>7079</v>
      </c>
      <c r="L23" s="1">
        <v>867240</v>
      </c>
      <c r="M23" s="1">
        <v>3</v>
      </c>
      <c r="N23" s="9">
        <v>0.75693561499999995</v>
      </c>
    </row>
    <row r="24" spans="6:14" x14ac:dyDescent="0.25">
      <c r="F24" s="6" t="s">
        <v>40</v>
      </c>
      <c r="G24" s="2">
        <v>11.968999999999999</v>
      </c>
      <c r="H24" s="2">
        <v>96.614000000000004</v>
      </c>
      <c r="I24" s="2">
        <v>0.36299999999999999</v>
      </c>
      <c r="J24" s="2">
        <v>11830</v>
      </c>
      <c r="K24" s="2">
        <v>4294</v>
      </c>
      <c r="L24" s="2">
        <v>788400</v>
      </c>
      <c r="M24" s="2">
        <v>2</v>
      </c>
      <c r="N24" s="7">
        <v>0.46995925</v>
      </c>
    </row>
    <row r="25" spans="6:14" x14ac:dyDescent="0.25">
      <c r="F25" s="8" t="s">
        <v>41</v>
      </c>
      <c r="G25" s="1">
        <v>22.093</v>
      </c>
      <c r="H25" s="1">
        <v>107.021</v>
      </c>
      <c r="I25" s="1">
        <v>0.40799999999999997</v>
      </c>
      <c r="J25" s="1">
        <v>14196</v>
      </c>
      <c r="K25" s="1">
        <v>5792</v>
      </c>
      <c r="L25" s="1">
        <v>946080</v>
      </c>
      <c r="M25" s="1">
        <v>3</v>
      </c>
      <c r="N25" s="9">
        <v>0.65204563999999998</v>
      </c>
    </row>
    <row r="26" spans="6:14" x14ac:dyDescent="0.25">
      <c r="F26" s="6" t="s">
        <v>42</v>
      </c>
      <c r="G26" s="2">
        <v>21.507999999999999</v>
      </c>
      <c r="H26" s="2">
        <v>16.231000000000002</v>
      </c>
      <c r="I26" s="2">
        <v>0.45400000000000001</v>
      </c>
      <c r="J26" s="2">
        <v>14788</v>
      </c>
      <c r="K26" s="2">
        <v>6714</v>
      </c>
      <c r="L26" s="2">
        <v>985500</v>
      </c>
      <c r="M26" s="2">
        <v>5</v>
      </c>
      <c r="N26" s="7">
        <v>0.84718826400000002</v>
      </c>
    </row>
    <row r="27" spans="6:14" x14ac:dyDescent="0.25">
      <c r="F27" s="8" t="s">
        <v>43</v>
      </c>
      <c r="G27" s="1">
        <v>11.009</v>
      </c>
      <c r="H27" s="1">
        <v>80.269000000000005</v>
      </c>
      <c r="I27" s="1">
        <v>0.72599999999999998</v>
      </c>
      <c r="J27" s="1">
        <v>11830</v>
      </c>
      <c r="K27" s="1">
        <v>8589</v>
      </c>
      <c r="L27" s="1">
        <v>788400</v>
      </c>
      <c r="M27" s="1">
        <v>2</v>
      </c>
      <c r="N27" s="9">
        <v>0.82</v>
      </c>
    </row>
    <row r="28" spans="6:14" x14ac:dyDescent="0.25">
      <c r="F28" s="6" t="s">
        <v>44</v>
      </c>
      <c r="G28" s="2">
        <v>11.555999999999999</v>
      </c>
      <c r="H28" s="2">
        <v>82.534999999999997</v>
      </c>
      <c r="I28" s="2">
        <v>9.0999999999999998E-2</v>
      </c>
      <c r="J28" s="2">
        <v>10056</v>
      </c>
      <c r="K28" s="2">
        <v>915</v>
      </c>
      <c r="L28" s="2">
        <v>670140</v>
      </c>
      <c r="M28" s="2">
        <v>1</v>
      </c>
      <c r="N28" s="7">
        <v>0.13457212700000001</v>
      </c>
    </row>
    <row r="29" spans="6:14" x14ac:dyDescent="0.25">
      <c r="F29" s="8" t="s">
        <v>45</v>
      </c>
      <c r="G29" s="1">
        <v>20.606999999999999</v>
      </c>
      <c r="H29" s="1">
        <v>62.13</v>
      </c>
      <c r="I29" s="1">
        <v>0.43099999999999999</v>
      </c>
      <c r="J29" s="1">
        <v>14196</v>
      </c>
      <c r="K29" s="1">
        <v>6118</v>
      </c>
      <c r="L29" s="1">
        <v>946080</v>
      </c>
      <c r="M29" s="1">
        <v>4</v>
      </c>
      <c r="N29" s="9">
        <v>0.73861450699999998</v>
      </c>
    </row>
    <row r="30" spans="6:14" x14ac:dyDescent="0.25">
      <c r="F30" s="6" t="s">
        <v>46</v>
      </c>
      <c r="G30" s="2">
        <v>16.437999999999999</v>
      </c>
      <c r="H30" s="2">
        <v>21.013999999999999</v>
      </c>
      <c r="I30" s="2">
        <v>0.40799999999999997</v>
      </c>
      <c r="J30" s="2">
        <v>13013</v>
      </c>
      <c r="K30" s="2">
        <v>5309</v>
      </c>
      <c r="L30" s="2">
        <v>867240</v>
      </c>
      <c r="M30" s="2">
        <v>3</v>
      </c>
      <c r="N30" s="7">
        <v>0.61268133700000005</v>
      </c>
    </row>
    <row r="31" spans="6:14" x14ac:dyDescent="0.25">
      <c r="F31" s="8" t="s">
        <v>47</v>
      </c>
      <c r="G31" s="1">
        <v>14.919</v>
      </c>
      <c r="H31" s="1">
        <v>30.617999999999999</v>
      </c>
      <c r="I31" s="1">
        <v>0.40799999999999997</v>
      </c>
      <c r="J31" s="1">
        <v>12422</v>
      </c>
      <c r="K31" s="1">
        <v>5068</v>
      </c>
      <c r="L31" s="1">
        <v>827820</v>
      </c>
      <c r="M31" s="1">
        <v>3</v>
      </c>
      <c r="N31" s="9">
        <v>0.59303993499999996</v>
      </c>
    </row>
    <row r="32" spans="6:14" x14ac:dyDescent="0.25">
      <c r="F32" s="6" t="s">
        <v>48</v>
      </c>
      <c r="G32" s="2">
        <v>11.103</v>
      </c>
      <c r="H32" s="2">
        <v>76.224000000000004</v>
      </c>
      <c r="I32" s="2">
        <v>9.0999999999999998E-2</v>
      </c>
      <c r="J32" s="2">
        <v>10056</v>
      </c>
      <c r="K32" s="2">
        <v>915</v>
      </c>
      <c r="L32" s="2">
        <v>670140</v>
      </c>
      <c r="M32" s="2">
        <v>1</v>
      </c>
      <c r="N32" s="7">
        <v>0.13457212700000001</v>
      </c>
    </row>
    <row r="33" spans="6:14" x14ac:dyDescent="0.25">
      <c r="F33" s="8" t="s">
        <v>49</v>
      </c>
      <c r="G33" s="1">
        <v>13.269</v>
      </c>
      <c r="H33" s="1">
        <v>81.724999999999994</v>
      </c>
      <c r="I33" s="1">
        <v>0.63500000000000001</v>
      </c>
      <c r="J33" s="1">
        <v>13013</v>
      </c>
      <c r="K33" s="1">
        <v>8263</v>
      </c>
      <c r="L33" s="1">
        <v>867240</v>
      </c>
      <c r="M33" s="1">
        <v>3</v>
      </c>
      <c r="N33" s="9">
        <v>0.85343113299999995</v>
      </c>
    </row>
    <row r="34" spans="6:14" ht="15.75" thickBot="1" x14ac:dyDescent="0.3">
      <c r="F34" s="10" t="s">
        <v>50</v>
      </c>
      <c r="G34" s="11">
        <v>22.565000000000001</v>
      </c>
      <c r="H34" s="11">
        <v>110.053</v>
      </c>
      <c r="I34" s="11">
        <v>0.40799999999999997</v>
      </c>
      <c r="J34" s="11">
        <v>14196</v>
      </c>
      <c r="K34" s="11">
        <v>5792</v>
      </c>
      <c r="L34" s="11">
        <v>946080</v>
      </c>
      <c r="M34" s="11">
        <v>3</v>
      </c>
      <c r="N34" s="12">
        <v>0.65204563999999998</v>
      </c>
    </row>
  </sheetData>
  <sortState xmlns:xlrd2="http://schemas.microsoft.com/office/spreadsheetml/2017/richdata2" ref="F9:H34">
    <sortCondition ref="F7:F34"/>
  </sortState>
  <mergeCells count="10">
    <mergeCell ref="B6:D6"/>
    <mergeCell ref="H4:H6"/>
    <mergeCell ref="G4:G6"/>
    <mergeCell ref="F4:F6"/>
    <mergeCell ref="N4:N6"/>
    <mergeCell ref="M4:M6"/>
    <mergeCell ref="L4:L6"/>
    <mergeCell ref="K4:K6"/>
    <mergeCell ref="J4:J6"/>
    <mergeCell ref="I4:I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9E650-CBDC-48FD-9FE1-D900660452A4}">
  <dimension ref="C6:M37"/>
  <sheetViews>
    <sheetView topLeftCell="C1" workbookViewId="0">
      <selection activeCell="C18" sqref="C18:D35"/>
    </sheetView>
  </sheetViews>
  <sheetFormatPr defaultRowHeight="15" x14ac:dyDescent="0.25"/>
  <cols>
    <col min="5" max="5" width="12" customWidth="1"/>
    <col min="6" max="6" width="11.7109375" customWidth="1"/>
    <col min="7" max="7" width="13.42578125" customWidth="1"/>
    <col min="8" max="8" width="15" customWidth="1"/>
    <col min="9" max="9" width="12.28515625" customWidth="1"/>
    <col min="10" max="11" width="14" customWidth="1"/>
    <col min="12" max="12" width="11" customWidth="1"/>
    <col min="13" max="13" width="13.85546875" customWidth="1"/>
  </cols>
  <sheetData>
    <row r="6" spans="5:13" ht="15.75" thickBot="1" x14ac:dyDescent="0.3"/>
    <row r="7" spans="5:13" x14ac:dyDescent="0.25">
      <c r="E7" s="29" t="s">
        <v>0</v>
      </c>
      <c r="F7" s="26" t="s">
        <v>1</v>
      </c>
      <c r="G7" s="26" t="s">
        <v>2</v>
      </c>
      <c r="H7" s="26" t="s">
        <v>3</v>
      </c>
      <c r="I7" s="26" t="s">
        <v>4</v>
      </c>
      <c r="J7" s="26" t="s">
        <v>5</v>
      </c>
      <c r="K7" s="26" t="s">
        <v>6</v>
      </c>
      <c r="L7" s="26" t="s">
        <v>7</v>
      </c>
      <c r="M7" s="32" t="s">
        <v>8</v>
      </c>
    </row>
    <row r="8" spans="5:13" x14ac:dyDescent="0.25">
      <c r="E8" s="30"/>
      <c r="F8" s="27"/>
      <c r="G8" s="27"/>
      <c r="H8" s="27"/>
      <c r="I8" s="27"/>
      <c r="J8" s="27"/>
      <c r="K8" s="27"/>
      <c r="L8" s="27"/>
      <c r="M8" s="33"/>
    </row>
    <row r="9" spans="5:13" ht="15.75" thickBot="1" x14ac:dyDescent="0.3">
      <c r="E9" s="31"/>
      <c r="F9" s="28"/>
      <c r="G9" s="28"/>
      <c r="H9" s="28"/>
      <c r="I9" s="28"/>
      <c r="J9" s="28"/>
      <c r="K9" s="28"/>
      <c r="L9" s="28"/>
      <c r="M9" s="34"/>
    </row>
    <row r="10" spans="5:13" hidden="1" x14ac:dyDescent="0.25">
      <c r="E10" s="3" t="s">
        <v>12</v>
      </c>
      <c r="F10" s="4">
        <v>16.033999999999999</v>
      </c>
      <c r="G10" s="4">
        <v>108.383</v>
      </c>
      <c r="H10" s="4">
        <v>0.499</v>
      </c>
      <c r="I10" s="4">
        <v>13604</v>
      </c>
      <c r="J10" s="4">
        <v>6789</v>
      </c>
      <c r="K10" s="4">
        <v>906660</v>
      </c>
      <c r="L10" s="4">
        <v>3</v>
      </c>
      <c r="M10" s="5">
        <v>0.73330073299999998</v>
      </c>
    </row>
    <row r="11" spans="5:13" hidden="1" x14ac:dyDescent="0.25">
      <c r="E11" s="6" t="s">
        <v>15</v>
      </c>
      <c r="F11" s="2">
        <v>19.849</v>
      </c>
      <c r="G11" s="2">
        <v>70.185000000000002</v>
      </c>
      <c r="H11" s="2">
        <v>0.43099999999999999</v>
      </c>
      <c r="I11" s="2">
        <v>13604</v>
      </c>
      <c r="J11" s="2">
        <v>5864</v>
      </c>
      <c r="K11" s="2">
        <v>906660</v>
      </c>
      <c r="L11" s="2">
        <v>4</v>
      </c>
      <c r="M11" s="7">
        <v>0.71791360999999998</v>
      </c>
    </row>
    <row r="12" spans="5:13" hidden="1" x14ac:dyDescent="0.25">
      <c r="E12" s="8" t="s">
        <v>17</v>
      </c>
      <c r="F12" s="1">
        <v>9.5210000000000008</v>
      </c>
      <c r="G12" s="1">
        <v>95.132999999999996</v>
      </c>
      <c r="H12" s="1">
        <v>0.36299999999999999</v>
      </c>
      <c r="I12" s="1">
        <v>11238</v>
      </c>
      <c r="J12" s="1">
        <v>4080</v>
      </c>
      <c r="K12" s="1">
        <v>748980</v>
      </c>
      <c r="L12" s="1">
        <v>2</v>
      </c>
      <c r="M12" s="9">
        <v>0.45251833699999999</v>
      </c>
    </row>
    <row r="13" spans="5:13" hidden="1" x14ac:dyDescent="0.25">
      <c r="E13" s="6" t="s">
        <v>20</v>
      </c>
      <c r="F13" s="2">
        <v>15.423999999999999</v>
      </c>
      <c r="G13" s="2">
        <v>96.49</v>
      </c>
      <c r="H13" s="2">
        <v>0.54400000000000004</v>
      </c>
      <c r="I13" s="2">
        <v>13013</v>
      </c>
      <c r="J13" s="2">
        <v>7079</v>
      </c>
      <c r="K13" s="2">
        <v>867240</v>
      </c>
      <c r="L13" s="2">
        <v>3</v>
      </c>
      <c r="M13" s="7">
        <v>0.75693561499999995</v>
      </c>
    </row>
    <row r="14" spans="5:13" hidden="1" x14ac:dyDescent="0.25">
      <c r="E14" s="8" t="s">
        <v>23</v>
      </c>
      <c r="F14" s="1">
        <v>9.8810000000000002</v>
      </c>
      <c r="G14" s="1">
        <v>73.608999999999995</v>
      </c>
      <c r="H14" s="1">
        <v>0.40799999999999997</v>
      </c>
      <c r="I14" s="1">
        <v>11830</v>
      </c>
      <c r="J14" s="1">
        <v>4827</v>
      </c>
      <c r="K14" s="1">
        <v>788400</v>
      </c>
      <c r="L14" s="1">
        <v>2</v>
      </c>
      <c r="M14" s="9">
        <v>0.51339853300000005</v>
      </c>
    </row>
    <row r="15" spans="5:13" hidden="1" x14ac:dyDescent="0.25">
      <c r="E15" s="6" t="s">
        <v>26</v>
      </c>
      <c r="F15" s="2">
        <v>10.324</v>
      </c>
      <c r="G15" s="2">
        <v>74.114999999999995</v>
      </c>
      <c r="H15" s="2">
        <v>0.72599999999999998</v>
      </c>
      <c r="I15" s="2">
        <v>11830</v>
      </c>
      <c r="J15" s="2">
        <v>8589</v>
      </c>
      <c r="K15" s="2">
        <v>788400</v>
      </c>
      <c r="L15" s="2">
        <v>2</v>
      </c>
      <c r="M15" s="7">
        <v>0.82</v>
      </c>
    </row>
    <row r="16" spans="5:13" hidden="1" x14ac:dyDescent="0.25">
      <c r="E16" s="8" t="s">
        <v>27</v>
      </c>
      <c r="F16" s="1">
        <v>11.242000000000001</v>
      </c>
      <c r="G16" s="1">
        <v>82.866</v>
      </c>
      <c r="H16" s="1">
        <v>0.72599999999999998</v>
      </c>
      <c r="I16" s="1">
        <v>11830</v>
      </c>
      <c r="J16" s="1">
        <v>8589</v>
      </c>
      <c r="K16" s="1">
        <v>788400</v>
      </c>
      <c r="L16" s="1">
        <v>2</v>
      </c>
      <c r="M16" s="9">
        <v>0.82</v>
      </c>
    </row>
    <row r="17" spans="3:13" hidden="1" x14ac:dyDescent="0.25">
      <c r="E17" s="6" t="s">
        <v>28</v>
      </c>
      <c r="F17" s="2">
        <v>18.763999999999999</v>
      </c>
      <c r="G17" s="2">
        <v>76.909000000000006</v>
      </c>
      <c r="H17" s="2">
        <v>0.43099999999999999</v>
      </c>
      <c r="I17" s="2">
        <v>14196</v>
      </c>
      <c r="J17" s="2">
        <v>6118</v>
      </c>
      <c r="K17" s="2">
        <v>946080</v>
      </c>
      <c r="L17" s="2">
        <v>4</v>
      </c>
      <c r="M17" s="7">
        <v>0.73861450699999998</v>
      </c>
    </row>
    <row r="18" spans="3:13" x14ac:dyDescent="0.25">
      <c r="C18" s="25" t="s">
        <v>66</v>
      </c>
      <c r="D18" s="39"/>
      <c r="E18" s="35" t="s">
        <v>30</v>
      </c>
      <c r="F18" s="36">
        <v>10.233000000000001</v>
      </c>
      <c r="G18" s="36">
        <v>30.747</v>
      </c>
      <c r="H18" s="36">
        <v>0.499</v>
      </c>
      <c r="I18" s="36">
        <v>12422</v>
      </c>
      <c r="J18" s="36">
        <v>6198</v>
      </c>
      <c r="K18" s="36">
        <v>827820</v>
      </c>
      <c r="L18" s="36">
        <v>3</v>
      </c>
      <c r="M18" s="37">
        <v>0.68513447400000005</v>
      </c>
    </row>
    <row r="19" spans="3:13" hidden="1" x14ac:dyDescent="0.25">
      <c r="E19" s="6" t="s">
        <v>32</v>
      </c>
      <c r="F19" s="2">
        <v>18.771999999999998</v>
      </c>
      <c r="G19" s="2">
        <v>70.992000000000004</v>
      </c>
      <c r="H19" s="2">
        <v>0.43099999999999999</v>
      </c>
      <c r="I19" s="2">
        <v>14196</v>
      </c>
      <c r="J19" s="2">
        <v>6118</v>
      </c>
      <c r="K19" s="2">
        <v>946080</v>
      </c>
      <c r="L19" s="2">
        <v>4</v>
      </c>
      <c r="M19" s="7">
        <v>0.73861450699999998</v>
      </c>
    </row>
    <row r="20" spans="3:13" hidden="1" x14ac:dyDescent="0.25">
      <c r="E20" s="8" t="s">
        <v>33</v>
      </c>
      <c r="F20" s="1">
        <v>20.689</v>
      </c>
      <c r="G20" s="1">
        <v>101.946</v>
      </c>
      <c r="H20" s="1">
        <v>0.43099999999999999</v>
      </c>
      <c r="I20" s="1">
        <v>14196</v>
      </c>
      <c r="J20" s="1">
        <v>6118</v>
      </c>
      <c r="K20" s="1">
        <v>946080</v>
      </c>
      <c r="L20" s="1">
        <v>4</v>
      </c>
      <c r="M20" s="9">
        <v>0.73861450699999998</v>
      </c>
    </row>
    <row r="21" spans="3:13" hidden="1" x14ac:dyDescent="0.25">
      <c r="E21" s="6" t="s">
        <v>34</v>
      </c>
      <c r="F21" s="2">
        <v>20.268000000000001</v>
      </c>
      <c r="G21" s="2">
        <v>105.20099999999999</v>
      </c>
      <c r="H21" s="2">
        <v>0.40799999999999997</v>
      </c>
      <c r="I21" s="2">
        <v>13604</v>
      </c>
      <c r="J21" s="2">
        <v>5551</v>
      </c>
      <c r="K21" s="2">
        <v>906660</v>
      </c>
      <c r="L21" s="2">
        <v>3</v>
      </c>
      <c r="M21" s="7">
        <v>0.63240423800000001</v>
      </c>
    </row>
    <row r="22" spans="3:13" hidden="1" x14ac:dyDescent="0.25">
      <c r="E22" s="8" t="s">
        <v>35</v>
      </c>
      <c r="F22" s="1">
        <v>19.584</v>
      </c>
      <c r="G22" s="1">
        <v>9.14</v>
      </c>
      <c r="H22" s="1">
        <v>0.45400000000000001</v>
      </c>
      <c r="I22" s="1">
        <v>14788</v>
      </c>
      <c r="J22" s="1">
        <v>6714</v>
      </c>
      <c r="K22" s="1">
        <v>985500</v>
      </c>
      <c r="L22" s="1">
        <v>5</v>
      </c>
      <c r="M22" s="9">
        <v>0.84718826400000002</v>
      </c>
    </row>
    <row r="23" spans="3:13" hidden="1" x14ac:dyDescent="0.25">
      <c r="E23" s="6" t="s">
        <v>36</v>
      </c>
      <c r="F23" s="2">
        <v>17.655000000000001</v>
      </c>
      <c r="G23" s="2">
        <v>31.876999999999999</v>
      </c>
      <c r="H23" s="2">
        <v>0.40799999999999997</v>
      </c>
      <c r="I23" s="2">
        <v>13604</v>
      </c>
      <c r="J23" s="2">
        <v>5551</v>
      </c>
      <c r="K23" s="2">
        <v>906660</v>
      </c>
      <c r="L23" s="2">
        <v>3</v>
      </c>
      <c r="M23" s="7">
        <v>0.63240423800000001</v>
      </c>
    </row>
    <row r="24" spans="3:13" x14ac:dyDescent="0.25">
      <c r="C24" s="25" t="s">
        <v>67</v>
      </c>
      <c r="D24" s="39"/>
      <c r="E24" s="8" t="s">
        <v>37</v>
      </c>
      <c r="F24" s="1">
        <v>24.181000000000001</v>
      </c>
      <c r="G24" s="1">
        <v>120.622</v>
      </c>
      <c r="H24" s="1">
        <v>0.40799999999999997</v>
      </c>
      <c r="I24" s="1">
        <v>14196</v>
      </c>
      <c r="J24" s="1">
        <v>5792</v>
      </c>
      <c r="K24" s="1">
        <v>946080</v>
      </c>
      <c r="L24" s="1">
        <v>3</v>
      </c>
      <c r="M24" s="9">
        <v>0.65204563999999998</v>
      </c>
    </row>
    <row r="25" spans="3:13" hidden="1" x14ac:dyDescent="0.25">
      <c r="D25" s="38" t="s">
        <v>66</v>
      </c>
      <c r="E25" s="6" t="s">
        <v>38</v>
      </c>
      <c r="F25" s="2">
        <v>6.87</v>
      </c>
      <c r="G25" s="2">
        <v>62.133000000000003</v>
      </c>
      <c r="H25" s="2">
        <v>0.54400000000000004</v>
      </c>
      <c r="I25" s="2">
        <v>11238</v>
      </c>
      <c r="J25" s="2">
        <v>6114</v>
      </c>
      <c r="K25" s="2">
        <v>748980</v>
      </c>
      <c r="L25" s="2">
        <v>2</v>
      </c>
      <c r="M25" s="7">
        <v>0.61828850899999999</v>
      </c>
    </row>
    <row r="26" spans="3:13" hidden="1" x14ac:dyDescent="0.25">
      <c r="E26" s="8" t="s">
        <v>39</v>
      </c>
      <c r="F26" s="1">
        <v>14.941000000000001</v>
      </c>
      <c r="G26" s="1">
        <v>102.905</v>
      </c>
      <c r="H26" s="1">
        <v>0.54400000000000004</v>
      </c>
      <c r="I26" s="1">
        <v>13013</v>
      </c>
      <c r="J26" s="1">
        <v>7079</v>
      </c>
      <c r="K26" s="1">
        <v>867240</v>
      </c>
      <c r="L26" s="1">
        <v>3</v>
      </c>
      <c r="M26" s="9">
        <v>0.75693561499999995</v>
      </c>
    </row>
    <row r="27" spans="3:13" hidden="1" x14ac:dyDescent="0.25">
      <c r="E27" s="6" t="s">
        <v>40</v>
      </c>
      <c r="F27" s="2">
        <v>11.968999999999999</v>
      </c>
      <c r="G27" s="2">
        <v>96.614000000000004</v>
      </c>
      <c r="H27" s="2">
        <v>0.36299999999999999</v>
      </c>
      <c r="I27" s="2">
        <v>11830</v>
      </c>
      <c r="J27" s="2">
        <v>4294</v>
      </c>
      <c r="K27" s="2">
        <v>788400</v>
      </c>
      <c r="L27" s="2">
        <v>2</v>
      </c>
      <c r="M27" s="7">
        <v>0.46995925</v>
      </c>
    </row>
    <row r="28" spans="3:13" hidden="1" x14ac:dyDescent="0.25">
      <c r="E28" s="8" t="s">
        <v>41</v>
      </c>
      <c r="F28" s="1">
        <v>22.093</v>
      </c>
      <c r="G28" s="1">
        <v>107.021</v>
      </c>
      <c r="H28" s="1">
        <v>0.40799999999999997</v>
      </c>
      <c r="I28" s="1">
        <v>14196</v>
      </c>
      <c r="J28" s="1">
        <v>5792</v>
      </c>
      <c r="K28" s="1">
        <v>946080</v>
      </c>
      <c r="L28" s="1">
        <v>3</v>
      </c>
      <c r="M28" s="9">
        <v>0.65204563999999998</v>
      </c>
    </row>
    <row r="29" spans="3:13" x14ac:dyDescent="0.25">
      <c r="C29" s="25" t="s">
        <v>68</v>
      </c>
      <c r="D29" s="39"/>
      <c r="E29" s="35" t="s">
        <v>42</v>
      </c>
      <c r="F29" s="36">
        <v>21.507999999999999</v>
      </c>
      <c r="G29" s="36">
        <v>16.231000000000002</v>
      </c>
      <c r="H29" s="36">
        <v>0.45400000000000001</v>
      </c>
      <c r="I29" s="36">
        <v>14788</v>
      </c>
      <c r="J29" s="36">
        <v>6714</v>
      </c>
      <c r="K29" s="36">
        <v>985500</v>
      </c>
      <c r="L29" s="36">
        <v>5</v>
      </c>
      <c r="M29" s="37">
        <v>0.84718826400000002</v>
      </c>
    </row>
    <row r="30" spans="3:13" hidden="1" x14ac:dyDescent="0.25">
      <c r="E30" s="8" t="s">
        <v>43</v>
      </c>
      <c r="F30" s="1">
        <v>11.009</v>
      </c>
      <c r="G30" s="1">
        <v>80.269000000000005</v>
      </c>
      <c r="H30" s="1">
        <v>0.72599999999999998</v>
      </c>
      <c r="I30" s="1">
        <v>11830</v>
      </c>
      <c r="J30" s="1">
        <v>8589</v>
      </c>
      <c r="K30" s="1">
        <v>788400</v>
      </c>
      <c r="L30" s="1">
        <v>2</v>
      </c>
      <c r="M30" s="9">
        <v>0.82</v>
      </c>
    </row>
    <row r="31" spans="3:13" hidden="1" x14ac:dyDescent="0.25">
      <c r="E31" s="6" t="s">
        <v>44</v>
      </c>
      <c r="F31" s="2">
        <v>11.555999999999999</v>
      </c>
      <c r="G31" s="2">
        <v>82.534999999999997</v>
      </c>
      <c r="H31" s="2">
        <v>9.0999999999999998E-2</v>
      </c>
      <c r="I31" s="2">
        <v>10056</v>
      </c>
      <c r="J31" s="2">
        <v>915</v>
      </c>
      <c r="K31" s="2">
        <v>670140</v>
      </c>
      <c r="L31" s="2">
        <v>1</v>
      </c>
      <c r="M31" s="7">
        <v>0.13457212700000001</v>
      </c>
    </row>
    <row r="32" spans="3:13" hidden="1" x14ac:dyDescent="0.25">
      <c r="E32" s="8" t="s">
        <v>45</v>
      </c>
      <c r="F32" s="1">
        <v>20.606999999999999</v>
      </c>
      <c r="G32" s="1">
        <v>62.13</v>
      </c>
      <c r="H32" s="1">
        <v>0.43099999999999999</v>
      </c>
      <c r="I32" s="1">
        <v>14196</v>
      </c>
      <c r="J32" s="1">
        <v>6118</v>
      </c>
      <c r="K32" s="1">
        <v>946080</v>
      </c>
      <c r="L32" s="1">
        <v>4</v>
      </c>
      <c r="M32" s="9">
        <v>0.73861450699999998</v>
      </c>
    </row>
    <row r="33" spans="3:13" x14ac:dyDescent="0.25">
      <c r="C33" s="25" t="s">
        <v>70</v>
      </c>
      <c r="D33" s="39"/>
      <c r="E33" s="8" t="s">
        <v>46</v>
      </c>
      <c r="F33" s="1">
        <v>16.437999999999999</v>
      </c>
      <c r="G33" s="1">
        <v>21.013999999999999</v>
      </c>
      <c r="H33" s="1">
        <v>0.40799999999999997</v>
      </c>
      <c r="I33" s="1">
        <v>13013</v>
      </c>
      <c r="J33" s="1">
        <v>5309</v>
      </c>
      <c r="K33" s="1">
        <v>867240</v>
      </c>
      <c r="L33" s="1">
        <v>3</v>
      </c>
      <c r="M33" s="9">
        <v>0.61268133700000005</v>
      </c>
    </row>
    <row r="34" spans="3:13" hidden="1" x14ac:dyDescent="0.25">
      <c r="E34" s="8" t="s">
        <v>47</v>
      </c>
      <c r="F34" s="1">
        <v>14.919</v>
      </c>
      <c r="G34" s="1">
        <v>30.617999999999999</v>
      </c>
      <c r="H34" s="1">
        <v>0.40799999999999997</v>
      </c>
      <c r="I34" s="1">
        <v>12422</v>
      </c>
      <c r="J34" s="1">
        <v>5068</v>
      </c>
      <c r="K34" s="1">
        <v>827820</v>
      </c>
      <c r="L34" s="1">
        <v>3</v>
      </c>
      <c r="M34" s="9">
        <v>0.59303993499999996</v>
      </c>
    </row>
    <row r="35" spans="3:13" x14ac:dyDescent="0.25">
      <c r="C35" s="25" t="s">
        <v>69</v>
      </c>
      <c r="D35" s="39"/>
      <c r="E35" s="35" t="s">
        <v>48</v>
      </c>
      <c r="F35" s="36">
        <v>11.103</v>
      </c>
      <c r="G35" s="36">
        <v>76.224000000000004</v>
      </c>
      <c r="H35" s="36">
        <v>9.0999999999999998E-2</v>
      </c>
      <c r="I35" s="36">
        <v>10056</v>
      </c>
      <c r="J35" s="36">
        <v>915</v>
      </c>
      <c r="K35" s="36">
        <v>670140</v>
      </c>
      <c r="L35" s="36">
        <v>1</v>
      </c>
      <c r="M35" s="37">
        <v>0.13457212700000001</v>
      </c>
    </row>
    <row r="36" spans="3:13" hidden="1" x14ac:dyDescent="0.25">
      <c r="E36" s="8" t="s">
        <v>49</v>
      </c>
      <c r="F36" s="1">
        <v>13.269</v>
      </c>
      <c r="G36" s="1">
        <v>81.724999999999994</v>
      </c>
      <c r="H36" s="1">
        <v>0.63500000000000001</v>
      </c>
      <c r="I36" s="1">
        <v>13013</v>
      </c>
      <c r="J36" s="1">
        <v>8263</v>
      </c>
      <c r="K36" s="1">
        <v>867240</v>
      </c>
      <c r="L36" s="1">
        <v>3</v>
      </c>
      <c r="M36" s="9">
        <v>0.85343113299999995</v>
      </c>
    </row>
    <row r="37" spans="3:13" ht="15.75" hidden="1" thickBot="1" x14ac:dyDescent="0.3">
      <c r="E37" s="10" t="s">
        <v>50</v>
      </c>
      <c r="F37" s="11">
        <v>22.565000000000001</v>
      </c>
      <c r="G37" s="11">
        <v>110.053</v>
      </c>
      <c r="H37" s="11">
        <v>0.40799999999999997</v>
      </c>
      <c r="I37" s="11">
        <v>14196</v>
      </c>
      <c r="J37" s="11">
        <v>5792</v>
      </c>
      <c r="K37" s="11">
        <v>946080</v>
      </c>
      <c r="L37" s="11">
        <v>3</v>
      </c>
      <c r="M37" s="12">
        <v>0.65204563999999998</v>
      </c>
    </row>
  </sheetData>
  <mergeCells count="14">
    <mergeCell ref="K7:K9"/>
    <mergeCell ref="L7:L9"/>
    <mergeCell ref="M7:M9"/>
    <mergeCell ref="C35:D35"/>
    <mergeCell ref="C33:D33"/>
    <mergeCell ref="C29:D29"/>
    <mergeCell ref="C24:D24"/>
    <mergeCell ref="C18:D18"/>
    <mergeCell ref="E7:E9"/>
    <mergeCell ref="F7:F9"/>
    <mergeCell ref="G7:G9"/>
    <mergeCell ref="H7:H9"/>
    <mergeCell ref="I7:I9"/>
    <mergeCell ref="J7:J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8BB6E-C1C0-4A9D-BA3C-923E087DD123}">
  <dimension ref="A1:O11"/>
  <sheetViews>
    <sheetView tabSelected="1" workbookViewId="0">
      <selection activeCell="A12" sqref="A12"/>
    </sheetView>
  </sheetViews>
  <sheetFormatPr defaultRowHeight="15" x14ac:dyDescent="0.25"/>
  <cols>
    <col min="1" max="1" width="18.42578125" customWidth="1"/>
    <col min="2" max="2" width="20.5703125" style="16" customWidth="1"/>
    <col min="3" max="3" width="15.5703125" style="16" customWidth="1"/>
    <col min="4" max="4" width="10.5703125" style="16" customWidth="1"/>
    <col min="5" max="5" width="10.5703125" style="19" customWidth="1"/>
    <col min="6" max="7" width="10.5703125" style="16" customWidth="1"/>
    <col min="8" max="8" width="10.5703125" style="23" customWidth="1"/>
    <col min="9" max="14" width="10.5703125" style="16" customWidth="1"/>
  </cols>
  <sheetData>
    <row r="1" spans="1:15" s="15" customFormat="1" ht="60" x14ac:dyDescent="0.25">
      <c r="B1" s="17" t="s">
        <v>51</v>
      </c>
      <c r="C1" s="17" t="s">
        <v>63</v>
      </c>
      <c r="D1" s="17" t="s">
        <v>52</v>
      </c>
      <c r="E1" s="18" t="s">
        <v>53</v>
      </c>
      <c r="F1" s="17" t="s">
        <v>71</v>
      </c>
      <c r="G1" s="17" t="s">
        <v>54</v>
      </c>
      <c r="H1" s="22" t="s">
        <v>55</v>
      </c>
      <c r="I1" s="17" t="s">
        <v>57</v>
      </c>
      <c r="J1" s="17" t="s">
        <v>56</v>
      </c>
      <c r="K1" s="17" t="s">
        <v>58</v>
      </c>
      <c r="L1" s="17" t="s">
        <v>59</v>
      </c>
      <c r="M1" s="17" t="s">
        <v>60</v>
      </c>
      <c r="N1" s="17" t="s">
        <v>61</v>
      </c>
      <c r="O1" s="17" t="s">
        <v>62</v>
      </c>
    </row>
    <row r="2" spans="1:15" x14ac:dyDescent="0.25">
      <c r="A2" s="40" t="s">
        <v>66</v>
      </c>
      <c r="B2" s="16" t="s">
        <v>30</v>
      </c>
      <c r="C2" s="16" t="s">
        <v>64</v>
      </c>
      <c r="D2" s="16">
        <v>100</v>
      </c>
      <c r="E2" s="19">
        <v>0.8</v>
      </c>
      <c r="F2" s="16">
        <f>70-55</f>
        <v>15</v>
      </c>
      <c r="G2" s="16">
        <v>4</v>
      </c>
      <c r="H2" s="23">
        <f>D2*1000/3.517</f>
        <v>28433.323855558716</v>
      </c>
      <c r="I2" s="21">
        <f>0.001*H2*F2</f>
        <v>426.4998578333807</v>
      </c>
      <c r="J2" s="21">
        <f>I2/(G2-1)</f>
        <v>142.16661927779356</v>
      </c>
      <c r="K2" s="21">
        <f>0.01*I2</f>
        <v>4.2649985783338069</v>
      </c>
      <c r="L2" s="21">
        <f>SUM(I2:K2)</f>
        <v>572.93147568950803</v>
      </c>
      <c r="M2" s="20">
        <f>L2*60*24/10^6</f>
        <v>0.8250213249928916</v>
      </c>
      <c r="N2" s="21">
        <f>M2*365</f>
        <v>301.13278362240544</v>
      </c>
      <c r="O2" s="21">
        <f>N2*E2</f>
        <v>240.90622689792437</v>
      </c>
    </row>
    <row r="3" spans="1:15" x14ac:dyDescent="0.25">
      <c r="A3" s="40"/>
      <c r="B3" s="16" t="s">
        <v>30</v>
      </c>
      <c r="C3" s="16" t="s">
        <v>65</v>
      </c>
      <c r="D3" s="16">
        <v>100</v>
      </c>
      <c r="E3" s="19">
        <v>0.6</v>
      </c>
      <c r="F3" s="16">
        <f>70-55</f>
        <v>15</v>
      </c>
      <c r="G3" s="16">
        <v>4</v>
      </c>
      <c r="H3" s="23">
        <f>D3*1000/3.517</f>
        <v>28433.323855558716</v>
      </c>
      <c r="I3" s="21">
        <f>0.001*H3*F3</f>
        <v>426.4998578333807</v>
      </c>
      <c r="J3" s="21">
        <f>I3/(G3-1)</f>
        <v>142.16661927779356</v>
      </c>
      <c r="K3" s="21">
        <f>0.01*I3</f>
        <v>4.2649985783338069</v>
      </c>
      <c r="L3" s="21">
        <f>SUM(I3:K3)</f>
        <v>572.93147568950803</v>
      </c>
      <c r="M3" s="20">
        <f>L3*60*24/10^6</f>
        <v>0.8250213249928916</v>
      </c>
      <c r="N3" s="21">
        <f>M3*365</f>
        <v>301.13278362240544</v>
      </c>
      <c r="O3" s="21">
        <f>N3*E3</f>
        <v>180.67967017344327</v>
      </c>
    </row>
    <row r="4" spans="1:15" x14ac:dyDescent="0.25">
      <c r="A4" s="41" t="s">
        <v>67</v>
      </c>
      <c r="B4" s="8" t="s">
        <v>37</v>
      </c>
      <c r="C4" s="16" t="s">
        <v>64</v>
      </c>
      <c r="D4" s="16">
        <v>100</v>
      </c>
      <c r="E4" s="19">
        <v>0.8</v>
      </c>
      <c r="F4" s="24">
        <v>20</v>
      </c>
      <c r="G4" s="24"/>
      <c r="H4" s="23">
        <f t="shared" ref="H4:H11" si="0">D4*1000/3.517</f>
        <v>28433.323855558716</v>
      </c>
      <c r="I4" s="21">
        <f t="shared" ref="I4:I11" si="1">0.001*H4*F4</f>
        <v>568.66647711117434</v>
      </c>
      <c r="J4" s="21">
        <f t="shared" ref="J4:J11" si="2">I4/(G4-1)</f>
        <v>-568.66647711117434</v>
      </c>
      <c r="K4" s="21">
        <f t="shared" ref="K4:K11" si="3">0.01*I4</f>
        <v>5.6866647711117437</v>
      </c>
      <c r="L4" s="21">
        <f t="shared" ref="L4:L11" si="4">SUM(I4:K4)</f>
        <v>5.6866647711117437</v>
      </c>
      <c r="M4" s="20">
        <f t="shared" ref="M4:M11" si="5">L4*60*24/10^6</f>
        <v>8.1887972704009111E-3</v>
      </c>
      <c r="N4" s="21">
        <f t="shared" ref="N4:N11" si="6">M4*365</f>
        <v>2.9889110036963324</v>
      </c>
      <c r="O4" s="21">
        <f t="shared" ref="O4:O11" si="7">N4*E4</f>
        <v>2.3911288029570659</v>
      </c>
    </row>
    <row r="5" spans="1:15" x14ac:dyDescent="0.25">
      <c r="A5" s="41"/>
      <c r="B5" s="8" t="s">
        <v>37</v>
      </c>
      <c r="C5" s="16" t="s">
        <v>65</v>
      </c>
      <c r="D5" s="16">
        <v>100</v>
      </c>
      <c r="E5" s="19">
        <v>0.6</v>
      </c>
      <c r="F5" s="24">
        <v>20</v>
      </c>
      <c r="G5" s="24"/>
      <c r="H5" s="23">
        <f t="shared" si="0"/>
        <v>28433.323855558716</v>
      </c>
      <c r="I5" s="21">
        <f t="shared" si="1"/>
        <v>568.66647711117434</v>
      </c>
      <c r="J5" s="21">
        <f t="shared" si="2"/>
        <v>-568.66647711117434</v>
      </c>
      <c r="K5" s="21">
        <f t="shared" si="3"/>
        <v>5.6866647711117437</v>
      </c>
      <c r="L5" s="21">
        <f t="shared" si="4"/>
        <v>5.6866647711117437</v>
      </c>
      <c r="M5" s="20">
        <f t="shared" si="5"/>
        <v>8.1887972704009111E-3</v>
      </c>
      <c r="N5" s="21">
        <f t="shared" si="6"/>
        <v>2.9889110036963324</v>
      </c>
      <c r="O5" s="21">
        <f t="shared" si="7"/>
        <v>1.7933466022177995</v>
      </c>
    </row>
    <row r="6" spans="1:15" x14ac:dyDescent="0.25">
      <c r="A6" s="41" t="s">
        <v>68</v>
      </c>
      <c r="B6" s="35" t="s">
        <v>42</v>
      </c>
      <c r="C6" s="16" t="s">
        <v>64</v>
      </c>
      <c r="D6" s="16">
        <v>100</v>
      </c>
      <c r="E6" s="19">
        <v>0.8</v>
      </c>
      <c r="F6" s="24">
        <v>15</v>
      </c>
      <c r="G6" s="24"/>
      <c r="H6" s="23">
        <f t="shared" si="0"/>
        <v>28433.323855558716</v>
      </c>
      <c r="I6" s="21">
        <f t="shared" si="1"/>
        <v>426.4998578333807</v>
      </c>
      <c r="J6" s="21">
        <f t="shared" si="2"/>
        <v>-426.4998578333807</v>
      </c>
      <c r="K6" s="21">
        <f t="shared" si="3"/>
        <v>4.2649985783338069</v>
      </c>
      <c r="L6" s="21">
        <f t="shared" si="4"/>
        <v>4.2649985783338069</v>
      </c>
      <c r="M6" s="20">
        <f t="shared" si="5"/>
        <v>6.1415979528006816E-3</v>
      </c>
      <c r="N6" s="21">
        <f t="shared" si="6"/>
        <v>2.241683252772249</v>
      </c>
      <c r="O6" s="21">
        <f t="shared" si="7"/>
        <v>1.7933466022177993</v>
      </c>
    </row>
    <row r="7" spans="1:15" x14ac:dyDescent="0.25">
      <c r="A7" s="41"/>
      <c r="B7" s="35" t="s">
        <v>42</v>
      </c>
      <c r="C7" s="16" t="s">
        <v>65</v>
      </c>
      <c r="D7" s="16">
        <v>100</v>
      </c>
      <c r="E7" s="19">
        <v>0.6</v>
      </c>
      <c r="F7" s="24">
        <v>15</v>
      </c>
      <c r="G7" s="24"/>
      <c r="H7" s="23">
        <f t="shared" si="0"/>
        <v>28433.323855558716</v>
      </c>
      <c r="I7" s="21">
        <f t="shared" si="1"/>
        <v>426.4998578333807</v>
      </c>
      <c r="J7" s="21">
        <f t="shared" si="2"/>
        <v>-426.4998578333807</v>
      </c>
      <c r="K7" s="21">
        <f t="shared" si="3"/>
        <v>4.2649985783338069</v>
      </c>
      <c r="L7" s="21">
        <f t="shared" si="4"/>
        <v>4.2649985783338069</v>
      </c>
      <c r="M7" s="20">
        <f t="shared" si="5"/>
        <v>6.1415979528006816E-3</v>
      </c>
      <c r="N7" s="21">
        <f t="shared" si="6"/>
        <v>2.241683252772249</v>
      </c>
      <c r="O7" s="21">
        <f t="shared" si="7"/>
        <v>1.3450099516633494</v>
      </c>
    </row>
    <row r="8" spans="1:15" x14ac:dyDescent="0.25">
      <c r="A8" s="41" t="s">
        <v>70</v>
      </c>
      <c r="B8" s="8" t="s">
        <v>46</v>
      </c>
      <c r="C8" s="16" t="s">
        <v>64</v>
      </c>
      <c r="D8" s="16">
        <v>100</v>
      </c>
      <c r="E8" s="19">
        <v>0.8</v>
      </c>
      <c r="F8" s="24">
        <v>20</v>
      </c>
      <c r="G8" s="24"/>
      <c r="H8" s="23">
        <f t="shared" si="0"/>
        <v>28433.323855558716</v>
      </c>
      <c r="I8" s="21">
        <f t="shared" si="1"/>
        <v>568.66647711117434</v>
      </c>
      <c r="J8" s="21">
        <f t="shared" si="2"/>
        <v>-568.66647711117434</v>
      </c>
      <c r="K8" s="21">
        <f t="shared" si="3"/>
        <v>5.6866647711117437</v>
      </c>
      <c r="L8" s="21">
        <f t="shared" si="4"/>
        <v>5.6866647711117437</v>
      </c>
      <c r="M8" s="20">
        <f t="shared" si="5"/>
        <v>8.1887972704009111E-3</v>
      </c>
      <c r="N8" s="21">
        <f t="shared" si="6"/>
        <v>2.9889110036963324</v>
      </c>
      <c r="O8" s="21">
        <f t="shared" si="7"/>
        <v>2.3911288029570659</v>
      </c>
    </row>
    <row r="9" spans="1:15" x14ac:dyDescent="0.25">
      <c r="A9" s="41"/>
      <c r="B9" s="8" t="s">
        <v>46</v>
      </c>
      <c r="C9" s="16" t="s">
        <v>65</v>
      </c>
      <c r="D9" s="16">
        <v>100</v>
      </c>
      <c r="E9" s="19">
        <v>0.6</v>
      </c>
      <c r="F9" s="24">
        <v>20</v>
      </c>
      <c r="G9" s="24"/>
      <c r="H9" s="23">
        <f t="shared" si="0"/>
        <v>28433.323855558716</v>
      </c>
      <c r="I9" s="21">
        <f t="shared" si="1"/>
        <v>568.66647711117434</v>
      </c>
      <c r="J9" s="21">
        <f t="shared" si="2"/>
        <v>-568.66647711117434</v>
      </c>
      <c r="K9" s="21">
        <f t="shared" si="3"/>
        <v>5.6866647711117437</v>
      </c>
      <c r="L9" s="21">
        <f t="shared" si="4"/>
        <v>5.6866647711117437</v>
      </c>
      <c r="M9" s="20">
        <f t="shared" si="5"/>
        <v>8.1887972704009111E-3</v>
      </c>
      <c r="N9" s="21">
        <f t="shared" si="6"/>
        <v>2.9889110036963324</v>
      </c>
      <c r="O9" s="21">
        <f t="shared" si="7"/>
        <v>1.7933466022177995</v>
      </c>
    </row>
    <row r="10" spans="1:15" x14ac:dyDescent="0.25">
      <c r="A10" s="41" t="s">
        <v>69</v>
      </c>
      <c r="B10" s="35" t="s">
        <v>48</v>
      </c>
      <c r="C10" s="16" t="s">
        <v>64</v>
      </c>
      <c r="D10" s="16">
        <v>100</v>
      </c>
      <c r="E10" s="19">
        <v>0.8</v>
      </c>
      <c r="F10" s="24">
        <v>10</v>
      </c>
      <c r="G10" s="24"/>
      <c r="H10" s="23">
        <f t="shared" si="0"/>
        <v>28433.323855558716</v>
      </c>
      <c r="I10" s="21">
        <f t="shared" si="1"/>
        <v>284.33323855558717</v>
      </c>
      <c r="J10" s="21">
        <f t="shared" si="2"/>
        <v>-284.33323855558717</v>
      </c>
      <c r="K10" s="21">
        <f t="shared" si="3"/>
        <v>2.8433323855558719</v>
      </c>
      <c r="L10" s="21">
        <f t="shared" si="4"/>
        <v>2.8433323855558719</v>
      </c>
      <c r="M10" s="20">
        <f t="shared" si="5"/>
        <v>4.0943986352004556E-3</v>
      </c>
      <c r="N10" s="21">
        <f t="shared" si="6"/>
        <v>1.4944555018481662</v>
      </c>
      <c r="O10" s="21">
        <f t="shared" si="7"/>
        <v>1.1955644014785329</v>
      </c>
    </row>
    <row r="11" spans="1:15" x14ac:dyDescent="0.25">
      <c r="A11" s="41"/>
      <c r="B11" s="35" t="s">
        <v>48</v>
      </c>
      <c r="C11" s="16" t="s">
        <v>65</v>
      </c>
      <c r="D11" s="16">
        <v>100</v>
      </c>
      <c r="E11" s="19">
        <v>0.6</v>
      </c>
      <c r="F11" s="24">
        <v>10</v>
      </c>
      <c r="G11" s="24"/>
      <c r="H11" s="23">
        <f t="shared" si="0"/>
        <v>28433.323855558716</v>
      </c>
      <c r="I11" s="21">
        <f t="shared" si="1"/>
        <v>284.33323855558717</v>
      </c>
      <c r="J11" s="21">
        <f t="shared" si="2"/>
        <v>-284.33323855558717</v>
      </c>
      <c r="K11" s="21">
        <f t="shared" si="3"/>
        <v>2.8433323855558719</v>
      </c>
      <c r="L11" s="21">
        <f t="shared" si="4"/>
        <v>2.8433323855558719</v>
      </c>
      <c r="M11" s="20">
        <f t="shared" si="5"/>
        <v>4.0943986352004556E-3</v>
      </c>
      <c r="N11" s="21">
        <f t="shared" si="6"/>
        <v>1.4944555018481662</v>
      </c>
      <c r="O11" s="21">
        <f t="shared" si="7"/>
        <v>0.89667330110889976</v>
      </c>
    </row>
  </sheetData>
  <mergeCells count="5">
    <mergeCell ref="A4:A5"/>
    <mergeCell ref="A6:A7"/>
    <mergeCell ref="A2:A3"/>
    <mergeCell ref="A8:A9"/>
    <mergeCell ref="A10:A1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</vt:lpstr>
      <vt:lpstr>Reduced List</vt:lpstr>
      <vt:lpstr>Cooling Cost Method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Peters,Logan</dc:creator>
  <cp:keywords/>
  <dc:description/>
  <cp:lastModifiedBy>Peters,Logan</cp:lastModifiedBy>
  <cp:revision/>
  <dcterms:created xsi:type="dcterms:W3CDTF">2026-02-12T01:03:23Z</dcterms:created>
  <dcterms:modified xsi:type="dcterms:W3CDTF">2026-02-26T21:58:59Z</dcterms:modified>
  <cp:category/>
  <cp:contentStatus/>
</cp:coreProperties>
</file>